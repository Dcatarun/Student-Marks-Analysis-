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rveen Kaur\Downloads\"/>
    </mc:Choice>
  </mc:AlternateContent>
  <xr:revisionPtr revIDLastSave="0" documentId="8_{979AF556-9CE3-403E-A3BD-D6806C704B03}" xr6:coauthVersionLast="47" xr6:coauthVersionMax="47" xr10:uidLastSave="{00000000-0000-0000-0000-000000000000}"/>
  <bookViews>
    <workbookView xWindow="-108" yWindow="-108" windowWidth="23256" windowHeight="12456" activeTab="2" xr2:uid="{105E2781-9B50-4E82-ACF2-EE612CE49803}"/>
  </bookViews>
  <sheets>
    <sheet name="Raw data" sheetId="1" r:id="rId1"/>
    <sheet name="Sheet2" sheetId="2" r:id="rId2"/>
    <sheet name="pivot table" sheetId="3" r:id="rId3"/>
  </sheets>
  <definedNames>
    <definedName name="_xlchart.v1.0" hidden="1">Sheet2!$C$38:$G$40</definedName>
    <definedName name="_xlchart.v1.1" hidden="1">Sheet2!$C$41:$G$41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1" i="2"/>
  <c r="H39" i="2"/>
  <c r="B45" i="2"/>
  <c r="G43" i="2"/>
  <c r="F43" i="2"/>
  <c r="E43" i="2"/>
  <c r="E36" i="2"/>
  <c r="D43" i="2"/>
  <c r="C43" i="2"/>
  <c r="F41" i="2"/>
  <c r="D6" i="2"/>
  <c r="G41" i="2"/>
  <c r="E41" i="2"/>
  <c r="D41" i="2"/>
  <c r="C41" i="2"/>
  <c r="E39" i="2"/>
  <c r="F39" i="2"/>
  <c r="G39" i="2"/>
  <c r="D39" i="2"/>
  <c r="C39" i="2"/>
  <c r="H5" i="2"/>
  <c r="H6" i="2"/>
  <c r="H7" i="2"/>
  <c r="H10" i="2"/>
  <c r="H12" i="2"/>
  <c r="H13" i="2"/>
  <c r="H14" i="2"/>
  <c r="H15" i="2"/>
  <c r="H16" i="2"/>
  <c r="H17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D2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A3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1" i="2"/>
  <c r="C1" i="2"/>
  <c r="D1" i="2"/>
  <c r="E1" i="2"/>
  <c r="F1" i="2"/>
  <c r="G1" i="2"/>
  <c r="H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" i="2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5" i="1"/>
  <c r="H6" i="1"/>
  <c r="H7" i="1"/>
  <c r="I7" i="1" s="1"/>
  <c r="J7" i="1" s="1"/>
  <c r="H8" i="1"/>
  <c r="I8" i="1" s="1"/>
  <c r="J8" i="1" s="1"/>
  <c r="H9" i="1"/>
  <c r="I9" i="1" s="1"/>
  <c r="J9" i="1" s="1"/>
  <c r="H10" i="1"/>
  <c r="H11" i="1"/>
  <c r="H12" i="1"/>
  <c r="I12" i="1" s="1"/>
  <c r="J12" i="1" s="1"/>
  <c r="H13" i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" i="1"/>
  <c r="J4" i="1" l="1"/>
  <c r="H2" i="2"/>
  <c r="H3" i="2"/>
  <c r="I5" i="1"/>
  <c r="J5" i="1" s="1"/>
  <c r="H4" i="2"/>
  <c r="I6" i="1"/>
  <c r="J6" i="1" s="1"/>
  <c r="H8" i="2"/>
  <c r="I10" i="1"/>
  <c r="J10" i="1" s="1"/>
  <c r="H9" i="2"/>
  <c r="I11" i="1"/>
  <c r="J11" i="1" s="1"/>
  <c r="H11" i="2"/>
  <c r="I13" i="1"/>
  <c r="J13" i="1" s="1"/>
  <c r="H18" i="2"/>
  <c r="I20" i="1"/>
  <c r="J20" i="1" s="1"/>
</calcChain>
</file>

<file path=xl/sharedStrings.xml><?xml version="1.0" encoding="utf-8"?>
<sst xmlns="http://schemas.openxmlformats.org/spreadsheetml/2006/main" count="79" uniqueCount="61">
  <si>
    <t>Roll No</t>
  </si>
  <si>
    <t>Name</t>
  </si>
  <si>
    <t>Math</t>
  </si>
  <si>
    <t>Physics</t>
  </si>
  <si>
    <t>Chemistry</t>
  </si>
  <si>
    <t>Biology</t>
  </si>
  <si>
    <t>English</t>
  </si>
  <si>
    <t>Total</t>
  </si>
  <si>
    <t>Percentage</t>
  </si>
  <si>
    <t>Pass/Fail</t>
  </si>
  <si>
    <t>Amit Sharma</t>
  </si>
  <si>
    <t>Priya Singh</t>
  </si>
  <si>
    <t>Ravi Kumar</t>
  </si>
  <si>
    <t>Meena Patel</t>
  </si>
  <si>
    <t>Deepak Joshi</t>
  </si>
  <si>
    <t>Sunita Das</t>
  </si>
  <si>
    <t>Manoj Tiwari</t>
  </si>
  <si>
    <t>Neha Verma</t>
  </si>
  <si>
    <t>Rohan Mehta</t>
  </si>
  <si>
    <t>Anjali Gupta</t>
  </si>
  <si>
    <t>Arjun Malhotra</t>
  </si>
  <si>
    <t>Pooja Nair</t>
  </si>
  <si>
    <t>Vikram Singh</t>
  </si>
  <si>
    <t>Swati Rao</t>
  </si>
  <si>
    <t>Gaurav Bhatia</t>
  </si>
  <si>
    <t>Kavita Joshi</t>
  </si>
  <si>
    <t>Aditya Reddy</t>
  </si>
  <si>
    <t>Shruti Agarwal</t>
  </si>
  <si>
    <t>Ankit Jain</t>
  </si>
  <si>
    <t>Radhika Patel</t>
  </si>
  <si>
    <t>Karan Malhotra</t>
  </si>
  <si>
    <t>Simran Kaur</t>
  </si>
  <si>
    <t>Prateek Verma</t>
  </si>
  <si>
    <t>Tanvi Desai</t>
  </si>
  <si>
    <t>Siddharth Roy</t>
  </si>
  <si>
    <t>Divya Menon</t>
  </si>
  <si>
    <t>Anil Kumar</t>
  </si>
  <si>
    <t>Ruchi Sharma</t>
  </si>
  <si>
    <t>Rajesh Patel</t>
  </si>
  <si>
    <t>Megha Jain</t>
  </si>
  <si>
    <t>Yash Arya</t>
  </si>
  <si>
    <t>Anjali Bhatia</t>
  </si>
  <si>
    <t>Vineet Saini</t>
  </si>
  <si>
    <t>Nisha Mehta</t>
  </si>
  <si>
    <t>Rohit Gupta</t>
  </si>
  <si>
    <t>MAX</t>
  </si>
  <si>
    <t>MIN</t>
  </si>
  <si>
    <t>AVG</t>
  </si>
  <si>
    <t>Total Student</t>
  </si>
  <si>
    <t>Sum of Math</t>
  </si>
  <si>
    <t>Sum of Physics</t>
  </si>
  <si>
    <t>Sum of Chemistry</t>
  </si>
  <si>
    <t>Sum of Biology</t>
  </si>
  <si>
    <t>Sum of English</t>
  </si>
  <si>
    <t>Row Labels</t>
  </si>
  <si>
    <t>Fail</t>
  </si>
  <si>
    <t>Pass</t>
  </si>
  <si>
    <t>Grand Total</t>
  </si>
  <si>
    <t>MAX AVG</t>
  </si>
  <si>
    <t>MIN AVG</t>
  </si>
  <si>
    <t xml:space="preserve">                                             Student Marks Analysis with Mini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</si>
</sst>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27251E"/>
      <name val="Georgia"/>
      <family val="1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8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table'!$A$1</c:f>
              <c:strCache>
                <c:ptCount val="1"/>
                <c:pt idx="0">
                  <c:v>Sum of 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General</c:formatCode>
                <c:ptCount val="1"/>
                <c:pt idx="0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5-4EB9-8E35-4A430601C69F}"/>
            </c:ext>
          </c:extLst>
        </c:ser>
        <c:ser>
          <c:idx val="1"/>
          <c:order val="1"/>
          <c:tx>
            <c:strRef>
              <c:f>'pivot table'!$B$1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table'!$B$2</c:f>
              <c:numCache>
                <c:formatCode>General</c:formatCode>
                <c:ptCount val="1"/>
                <c:pt idx="0">
                  <c:v>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5-4EB9-8E35-4A430601C69F}"/>
            </c:ext>
          </c:extLst>
        </c:ser>
        <c:ser>
          <c:idx val="2"/>
          <c:order val="2"/>
          <c:tx>
            <c:strRef>
              <c:f>'pivot table'!$C$1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table'!$C$2</c:f>
              <c:numCache>
                <c:formatCode>General</c:formatCode>
                <c:ptCount val="1"/>
                <c:pt idx="0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F5-4EB9-8E35-4A430601C69F}"/>
            </c:ext>
          </c:extLst>
        </c:ser>
        <c:ser>
          <c:idx val="3"/>
          <c:order val="3"/>
          <c:tx>
            <c:strRef>
              <c:f>'pivot table'!$D$1</c:f>
              <c:strCache>
                <c:ptCount val="1"/>
                <c:pt idx="0">
                  <c:v>Sum of Biology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table'!$D$2</c:f>
              <c:numCache>
                <c:formatCode>General</c:formatCode>
                <c:ptCount val="1"/>
                <c:pt idx="0">
                  <c:v>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5-4EB9-8E35-4A430601C69F}"/>
            </c:ext>
          </c:extLst>
        </c:ser>
        <c:ser>
          <c:idx val="4"/>
          <c:order val="4"/>
          <c:tx>
            <c:strRef>
              <c:f>'pivot table'!$E$1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table'!$E$2</c:f>
              <c:numCache>
                <c:formatCode>General</c:formatCode>
                <c:ptCount val="1"/>
                <c:pt idx="0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F5-4EB9-8E35-4A430601C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591664"/>
        <c:axId val="1775592144"/>
      </c:barChart>
      <c:catAx>
        <c:axId val="17755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92144"/>
        <c:crosses val="autoZero"/>
        <c:auto val="1"/>
        <c:lblAlgn val="ctr"/>
        <c:lblOffset val="100"/>
        <c:noMultiLvlLbl val="0"/>
      </c:catAx>
      <c:valAx>
        <c:axId val="17755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9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22450678319942E-2"/>
          <c:y val="0.17990251218597678"/>
          <c:w val="0.71844419383638425"/>
          <c:h val="0.648774653168353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table'!$G$4:$G$6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table'!$H$4:$H$6</c:f>
              <c:numCache>
                <c:formatCode>General</c:formatCode>
                <c:ptCount val="2"/>
                <c:pt idx="0">
                  <c:v>270</c:v>
                </c:pt>
                <c:pt idx="1">
                  <c:v>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A-430D-AECA-5356B264DA1A}"/>
            </c:ext>
          </c:extLst>
        </c:ser>
        <c:ser>
          <c:idx val="1"/>
          <c:order val="1"/>
          <c:tx>
            <c:strRef>
              <c:f>'pivot table'!$I$3</c:f>
              <c:strCache>
                <c:ptCount val="1"/>
                <c:pt idx="0">
                  <c:v>Sum of Biology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table'!$G$4:$G$6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table'!$I$4:$I$6</c:f>
              <c:numCache>
                <c:formatCode>General</c:formatCode>
                <c:ptCount val="2"/>
                <c:pt idx="0">
                  <c:v>292</c:v>
                </c:pt>
                <c:pt idx="1">
                  <c:v>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A-430D-AECA-5356B264DA1A}"/>
            </c:ext>
          </c:extLst>
        </c:ser>
        <c:ser>
          <c:idx val="2"/>
          <c:order val="2"/>
          <c:tx>
            <c:strRef>
              <c:f>'pivot table'!$J$3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table'!$G$4:$G$6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table'!$J$4:$J$6</c:f>
              <c:numCache>
                <c:formatCode>General</c:formatCode>
                <c:ptCount val="2"/>
                <c:pt idx="0">
                  <c:v>272</c:v>
                </c:pt>
                <c:pt idx="1">
                  <c:v>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1A-430D-AECA-5356B264DA1A}"/>
            </c:ext>
          </c:extLst>
        </c:ser>
        <c:ser>
          <c:idx val="3"/>
          <c:order val="3"/>
          <c:tx>
            <c:strRef>
              <c:f>'pivot table'!$K$3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table'!$G$4:$G$6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table'!$K$4:$K$6</c:f>
              <c:numCache>
                <c:formatCode>General</c:formatCode>
                <c:ptCount val="2"/>
                <c:pt idx="0">
                  <c:v>259</c:v>
                </c:pt>
                <c:pt idx="1">
                  <c:v>2337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1A-430D-AECA-5356B264DA1A}"/>
            </c:ext>
          </c:extLst>
        </c:ser>
        <c:ser>
          <c:idx val="4"/>
          <c:order val="4"/>
          <c:tx>
            <c:strRef>
              <c:f>'pivot table'!$L$3</c:f>
              <c:strCache>
                <c:ptCount val="1"/>
                <c:pt idx="0">
                  <c:v>Sum of Math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table'!$G$4:$G$6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'pivot table'!$L$4:$L$6</c:f>
              <c:numCache>
                <c:formatCode>General</c:formatCode>
                <c:ptCount val="2"/>
                <c:pt idx="0">
                  <c:v>279</c:v>
                </c:pt>
                <c:pt idx="1">
                  <c:v>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1A-430D-AECA-5356B264D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478879"/>
        <c:axId val="891479359"/>
      </c:barChart>
      <c:catAx>
        <c:axId val="8914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79359"/>
        <c:crosses val="autoZero"/>
        <c:auto val="1"/>
        <c:lblAlgn val="ctr"/>
        <c:lblOffset val="100"/>
        <c:noMultiLvlLbl val="0"/>
      </c:catAx>
      <c:valAx>
        <c:axId val="8914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/>
    <cx:plotArea>
      <cx:plotAreaRegion>
        <cx:plotSurface>
          <cx:spPr>
            <a:ln>
              <a:solidFill>
                <a:schemeClr val="accent1"/>
              </a:solidFill>
            </a:ln>
            <a:effectLst>
              <a:glow rad="25400">
                <a:schemeClr val="accent1">
                  <a:alpha val="40000"/>
                </a:schemeClr>
              </a:glow>
            </a:effectLst>
          </cx:spPr>
        </cx:plotSurface>
        <cx:series layoutId="clusteredColumn" uniqueId="{2ACC790B-9BCA-425E-81AA-FA63B03DD06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174433</xdr:rowOff>
    </xdr:from>
    <xdr:to>
      <xdr:col>5</xdr:col>
      <xdr:colOff>167640</xdr:colOff>
      <xdr:row>16</xdr:row>
      <xdr:rowOff>174433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DF47C-68E6-989F-ECBE-EA157EC3C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858520</xdr:colOff>
      <xdr:row>6</xdr:row>
      <xdr:rowOff>36830</xdr:rowOff>
    </xdr:from>
    <xdr:to>
      <xdr:col>12</xdr:col>
      <xdr:colOff>302260</xdr:colOff>
      <xdr:row>21</xdr:row>
      <xdr:rowOff>36830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5817CE-657F-353D-04AF-0B5A9EB9F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36026</xdr:colOff>
      <xdr:row>29</xdr:row>
      <xdr:rowOff>135553</xdr:rowOff>
    </xdr:from>
    <xdr:to>
      <xdr:col>4</xdr:col>
      <xdr:colOff>793620</xdr:colOff>
      <xdr:row>44</xdr:row>
      <xdr:rowOff>88382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4BFB649-2F94-4B4D-6751-E5F8F3D84E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26" y="5439073"/>
              <a:ext cx="4559974" cy="2696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veen Kaur" refreshedDate="46122.871369791668" createdVersion="8" refreshedVersion="8" minRefreshableVersion="3" recordCount="35" xr:uid="{00940259-571E-4872-833C-391D16BF88F4}">
  <cacheSource type="worksheet">
    <worksheetSource ref="A3:J38" sheet="Raw data"/>
  </cacheSource>
  <cacheFields count="10">
    <cacheField name="Roll No" numFmtId="0">
      <sharedItems containsSemiMixedTypes="0" containsString="0" containsNumber="1" containsInteger="1" minValue="1" maxValue="35"/>
    </cacheField>
    <cacheField name="Name" numFmtId="0">
      <sharedItems count="35">
        <s v="Amit Sharma"/>
        <s v="Priya Singh"/>
        <s v="Ravi Kumar"/>
        <s v="Meena Patel"/>
        <s v="Deepak Joshi"/>
        <s v="Sunita Das"/>
        <s v="Manoj Tiwari"/>
        <s v="Neha Verma"/>
        <s v="Rohan Mehta"/>
        <s v="Anjali Gupta"/>
        <s v="Arjun Malhotra"/>
        <s v="Pooja Nair"/>
        <s v="Vikram Singh"/>
        <s v="Swati Rao"/>
        <s v="Gaurav Bhatia"/>
        <s v="Kavita Joshi"/>
        <s v="Aditya Reddy"/>
        <s v="Shruti Agarwal"/>
        <s v="Ankit Jain"/>
        <s v="Radhika Patel"/>
        <s v="Karan Malhotra"/>
        <s v="Simran Kaur"/>
        <s v="Prateek Verma"/>
        <s v="Tanvi Desai"/>
        <s v="Siddharth Roy"/>
        <s v="Divya Menon"/>
        <s v="Anil Kumar"/>
        <s v="Ruchi Sharma"/>
        <s v="Rajesh Patel"/>
        <s v="Megha Jain"/>
        <s v="Yash Arya"/>
        <s v="Anjali Bhatia"/>
        <s v="Vineet Saini"/>
        <s v="Nisha Mehta"/>
        <s v="Rohit Gupta"/>
      </sharedItems>
    </cacheField>
    <cacheField name="Math" numFmtId="0">
      <sharedItems containsSemiMixedTypes="0" containsString="0" containsNumber="1" containsInteger="1" minValue="50" maxValue="95"/>
    </cacheField>
    <cacheField name="Physics" numFmtId="0">
      <sharedItems containsSemiMixedTypes="0" containsString="0" containsNumber="1" containsInteger="1" minValue="45" maxValue="92"/>
    </cacheField>
    <cacheField name="Chemistry" numFmtId="0">
      <sharedItems containsSemiMixedTypes="0" containsString="0" containsNumber="1" containsInteger="1" minValue="48" maxValue="95"/>
    </cacheField>
    <cacheField name="Biology" numFmtId="0">
      <sharedItems containsSemiMixedTypes="0" containsString="0" containsNumber="1" containsInteger="1" minValue="52" maxValue="93"/>
    </cacheField>
    <cacheField name="English" numFmtId="0">
      <sharedItems containsSemiMixedTypes="0" containsString="0" containsNumber="1" containsInteger="1" minValue="47" maxValue="94"/>
    </cacheField>
    <cacheField name="Total" numFmtId="0">
      <sharedItems containsSemiMixedTypes="0" containsString="0" containsNumber="1" containsInteger="1" minValue="242" maxValue="468"/>
    </cacheField>
    <cacheField name="Percentage" numFmtId="0">
      <sharedItems containsSemiMixedTypes="0" containsString="0" containsNumber="1" minValue="48.4" maxValue="93.600000000000009"/>
    </cacheField>
    <cacheField name="Pass/Fail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n v="78"/>
    <n v="72"/>
    <n v="85"/>
    <n v="80"/>
    <n v="75"/>
    <n v="390"/>
    <n v="78"/>
    <x v="0"/>
  </r>
  <r>
    <n v="2"/>
    <x v="1"/>
    <n v="85"/>
    <n v="88"/>
    <n v="90"/>
    <n v="82"/>
    <n v="80"/>
    <n v="425"/>
    <n v="85"/>
    <x v="0"/>
  </r>
  <r>
    <n v="3"/>
    <x v="2"/>
    <n v="65"/>
    <n v="60"/>
    <n v="55"/>
    <n v="58"/>
    <n v="62"/>
    <n v="300"/>
    <n v="60"/>
    <x v="0"/>
  </r>
  <r>
    <n v="4"/>
    <x v="3"/>
    <n v="92"/>
    <n v="89"/>
    <n v="88"/>
    <n v="85"/>
    <n v="87"/>
    <n v="441"/>
    <n v="88.2"/>
    <x v="0"/>
  </r>
  <r>
    <n v="5"/>
    <x v="4"/>
    <n v="50"/>
    <n v="45"/>
    <n v="48"/>
    <n v="52"/>
    <n v="47"/>
    <n v="242"/>
    <n v="48.4"/>
    <x v="1"/>
  </r>
  <r>
    <n v="6"/>
    <x v="5"/>
    <n v="88"/>
    <n v="85"/>
    <n v="90"/>
    <n v="87"/>
    <n v="89"/>
    <n v="439"/>
    <n v="87.8"/>
    <x v="0"/>
  </r>
  <r>
    <n v="7"/>
    <x v="6"/>
    <n v="70"/>
    <n v="68"/>
    <n v="65"/>
    <n v="72"/>
    <n v="69"/>
    <n v="344"/>
    <n v="68.8"/>
    <x v="0"/>
  </r>
  <r>
    <n v="8"/>
    <x v="7"/>
    <n v="95"/>
    <n v="92"/>
    <n v="94"/>
    <n v="90"/>
    <n v="93"/>
    <n v="464"/>
    <n v="92.800000000000011"/>
    <x v="0"/>
  </r>
  <r>
    <n v="9"/>
    <x v="8"/>
    <n v="60"/>
    <n v="55"/>
    <n v="58"/>
    <n v="62"/>
    <n v="57"/>
    <n v="292"/>
    <n v="58.4"/>
    <x v="1"/>
  </r>
  <r>
    <n v="10"/>
    <x v="9"/>
    <n v="82"/>
    <n v="78"/>
    <n v="80"/>
    <n v="75"/>
    <n v="85"/>
    <n v="400"/>
    <n v="80"/>
    <x v="0"/>
  </r>
  <r>
    <n v="11"/>
    <x v="10"/>
    <n v="75"/>
    <n v="72"/>
    <n v="70"/>
    <n v="74"/>
    <n v="76"/>
    <n v="367"/>
    <n v="73.400000000000006"/>
    <x v="0"/>
  </r>
  <r>
    <n v="12"/>
    <x v="11"/>
    <n v="90"/>
    <n v="88"/>
    <n v="92"/>
    <n v="89"/>
    <n v="91"/>
    <n v="450"/>
    <n v="90"/>
    <x v="0"/>
  </r>
  <r>
    <n v="13"/>
    <x v="12"/>
    <n v="55"/>
    <n v="50"/>
    <n v="52"/>
    <n v="58"/>
    <n v="54"/>
    <n v="269"/>
    <n v="53.800000000000004"/>
    <x v="1"/>
  </r>
  <r>
    <n v="14"/>
    <x v="13"/>
    <n v="80"/>
    <n v="75"/>
    <n v="78"/>
    <n v="76"/>
    <n v="81"/>
    <n v="390"/>
    <n v="78"/>
    <x v="0"/>
  </r>
  <r>
    <n v="15"/>
    <x v="14"/>
    <n v="68"/>
    <n v="65"/>
    <n v="67"/>
    <n v="70"/>
    <n v="66"/>
    <n v="336"/>
    <n v="67.2"/>
    <x v="0"/>
  </r>
  <r>
    <n v="16"/>
    <x v="15"/>
    <n v="93"/>
    <n v="90"/>
    <n v="88"/>
    <n v="91"/>
    <n v="92"/>
    <n v="454"/>
    <n v="90.8"/>
    <x v="0"/>
  </r>
  <r>
    <n v="17"/>
    <x v="16"/>
    <n v="72"/>
    <n v="70"/>
    <n v="74"/>
    <n v="76"/>
    <n v="73"/>
    <n v="365"/>
    <n v="73"/>
    <x v="0"/>
  </r>
  <r>
    <n v="18"/>
    <x v="17"/>
    <n v="85"/>
    <n v="82"/>
    <n v="86"/>
    <n v="84"/>
    <n v="88"/>
    <n v="425"/>
    <n v="85"/>
    <x v="0"/>
  </r>
  <r>
    <n v="19"/>
    <x v="18"/>
    <n v="58"/>
    <n v="55"/>
    <n v="56"/>
    <n v="60"/>
    <n v="57"/>
    <n v="286"/>
    <n v="57.199999999999996"/>
    <x v="1"/>
  </r>
  <r>
    <n v="20"/>
    <x v="19"/>
    <n v="91"/>
    <n v="89"/>
    <n v="93"/>
    <n v="90"/>
    <n v="92"/>
    <n v="455"/>
    <n v="91"/>
    <x v="0"/>
  </r>
  <r>
    <n v="21"/>
    <x v="20"/>
    <n v="74"/>
    <n v="72"/>
    <n v="76"/>
    <n v="78"/>
    <n v="75"/>
    <n v="375"/>
    <n v="75"/>
    <x v="0"/>
  </r>
  <r>
    <n v="22"/>
    <x v="21"/>
    <n v="87"/>
    <n v="85"/>
    <n v="88"/>
    <n v="86"/>
    <n v="89"/>
    <n v="435"/>
    <n v="87"/>
    <x v="0"/>
  </r>
  <r>
    <n v="23"/>
    <x v="22"/>
    <n v="62"/>
    <n v="60"/>
    <n v="65"/>
    <n v="68"/>
    <n v="63"/>
    <n v="318"/>
    <n v="63.6"/>
    <x v="0"/>
  </r>
  <r>
    <n v="24"/>
    <x v="23"/>
    <n v="89"/>
    <n v="86"/>
    <n v="90"/>
    <n v="88"/>
    <n v="91"/>
    <n v="444"/>
    <n v="88.8"/>
    <x v="0"/>
  </r>
  <r>
    <n v="25"/>
    <x v="24"/>
    <n v="70"/>
    <n v="68"/>
    <n v="72"/>
    <n v="74"/>
    <n v="71"/>
    <n v="355"/>
    <n v="71"/>
    <x v="0"/>
  </r>
  <r>
    <n v="26"/>
    <x v="25"/>
    <n v="94"/>
    <n v="92"/>
    <n v="95"/>
    <n v="93"/>
    <n v="94"/>
    <n v="468"/>
    <n v="93.600000000000009"/>
    <x v="0"/>
  </r>
  <r>
    <n v="27"/>
    <x v="26"/>
    <n v="63"/>
    <n v="60"/>
    <n v="65"/>
    <n v="67"/>
    <n v="62"/>
    <n v="317"/>
    <n v="63.4"/>
    <x v="0"/>
  </r>
  <r>
    <n v="28"/>
    <x v="27"/>
    <n v="86"/>
    <n v="83"/>
    <n v="87"/>
    <n v="85"/>
    <n v="89"/>
    <n v="430"/>
    <n v="86"/>
    <x v="0"/>
  </r>
  <r>
    <n v="29"/>
    <x v="28"/>
    <n v="56"/>
    <n v="54"/>
    <n v="58"/>
    <n v="60"/>
    <n v="55"/>
    <n v="283"/>
    <n v="56.599999999999994"/>
    <x v="1"/>
  </r>
  <r>
    <n v="30"/>
    <x v="29"/>
    <n v="90"/>
    <n v="88"/>
    <n v="91"/>
    <n v="89"/>
    <n v="92"/>
    <n v="450"/>
    <n v="90"/>
    <x v="0"/>
  </r>
  <r>
    <n v="31"/>
    <x v="30"/>
    <n v="73"/>
    <n v="75"/>
    <n v="77"/>
    <n v="78"/>
    <n v="74"/>
    <n v="377"/>
    <n v="75.400000000000006"/>
    <x v="0"/>
  </r>
  <r>
    <n v="32"/>
    <x v="31"/>
    <n v="81"/>
    <n v="80"/>
    <n v="82"/>
    <n v="84"/>
    <n v="83"/>
    <n v="410"/>
    <n v="82"/>
    <x v="0"/>
  </r>
  <r>
    <n v="33"/>
    <x v="32"/>
    <n v="67"/>
    <n v="65"/>
    <n v="66"/>
    <n v="69"/>
    <n v="68"/>
    <n v="335"/>
    <n v="67"/>
    <x v="0"/>
  </r>
  <r>
    <n v="34"/>
    <x v="33"/>
    <n v="88"/>
    <n v="86"/>
    <n v="89"/>
    <n v="87"/>
    <n v="90"/>
    <n v="440"/>
    <n v="88"/>
    <x v="0"/>
  </r>
  <r>
    <n v="35"/>
    <x v="34"/>
    <n v="76"/>
    <n v="74"/>
    <n v="78"/>
    <n v="80"/>
    <n v="77"/>
    <n v="385"/>
    <n v="7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4FDCD-664D-42A7-8071-CED538FAF10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L6" firstHeaderRow="0" firstDataRow="1" firstDataCol="1"/>
  <pivotFields count="10">
    <pivotField showAll="0"/>
    <pivotField showAll="0">
      <items count="36">
        <item x="16"/>
        <item x="0"/>
        <item x="26"/>
        <item x="31"/>
        <item x="9"/>
        <item x="18"/>
        <item x="10"/>
        <item x="4"/>
        <item x="25"/>
        <item x="14"/>
        <item x="20"/>
        <item x="15"/>
        <item x="6"/>
        <item x="3"/>
        <item x="29"/>
        <item x="7"/>
        <item x="33"/>
        <item x="11"/>
        <item x="22"/>
        <item x="1"/>
        <item x="19"/>
        <item x="28"/>
        <item x="2"/>
        <item x="8"/>
        <item x="34"/>
        <item x="27"/>
        <item x="17"/>
        <item x="24"/>
        <item x="21"/>
        <item x="5"/>
        <item x="13"/>
        <item x="23"/>
        <item x="12"/>
        <item x="32"/>
        <item x="3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nglish" fld="6" baseField="0" baseItem="0"/>
    <dataField name="Sum of Biology" fld="5" baseField="0" baseItem="0"/>
    <dataField name="Sum of Chemistry" fld="4" baseField="0" baseItem="0"/>
    <dataField name="Sum of Physics" fld="3" baseField="0" baseItem="0"/>
    <dataField name="Sum of Math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05798-4BF4-41E2-AA26-BEB81DE6B9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2" firstHeaderRow="0" firstDataRow="1" firstDataCol="0"/>
  <pivotFields count="10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" fld="2" baseField="0" baseItem="0"/>
    <dataField name="Sum of Physics" fld="3" baseField="0" baseItem="0"/>
    <dataField name="Sum of Chemistry" fld="4" baseField="0" baseItem="0"/>
    <dataField name="Sum of Biology" fld="5" baseField="0" baseItem="0"/>
    <dataField name="Sum of English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7EE5-3665-4D4E-96D6-A4C3E6DC1C0F}">
  <dimension ref="A1:S40"/>
  <sheetViews>
    <sheetView zoomScale="64" zoomScaleNormal="116" workbookViewId="0">
      <selection activeCell="J4" sqref="J4"/>
    </sheetView>
  </sheetViews>
  <sheetFormatPr defaultRowHeight="14.4" x14ac:dyDescent="0.3"/>
  <cols>
    <col min="2" max="2" width="19.21875" customWidth="1"/>
    <col min="5" max="6" width="10.44140625" customWidth="1"/>
    <col min="8" max="8" width="13.44140625" customWidth="1"/>
    <col min="9" max="9" width="12.6640625" customWidth="1"/>
    <col min="10" max="10" width="16.109375" customWidth="1"/>
  </cols>
  <sheetData>
    <row r="1" spans="1:19" ht="20.399999999999999" customHeight="1" x14ac:dyDescent="0.3">
      <c r="A1" s="13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" customHeight="1" thickBo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" thickBot="1" x14ac:dyDescent="0.3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"/>
      <c r="L3" s="1"/>
      <c r="M3" s="1"/>
      <c r="N3" s="1"/>
      <c r="O3" s="1"/>
    </row>
    <row r="4" spans="1:19" ht="15" thickBot="1" x14ac:dyDescent="0.35">
      <c r="A4" s="1">
        <v>1</v>
      </c>
      <c r="B4" s="1" t="s">
        <v>10</v>
      </c>
      <c r="C4" s="1">
        <v>78</v>
      </c>
      <c r="D4" s="1">
        <v>72</v>
      </c>
      <c r="E4" s="1">
        <v>85</v>
      </c>
      <c r="F4" s="1">
        <v>80</v>
      </c>
      <c r="G4" s="1">
        <v>75</v>
      </c>
      <c r="H4" s="1">
        <f>SUM(C4:G4)</f>
        <v>390</v>
      </c>
      <c r="I4" s="1">
        <f>H4/500*100</f>
        <v>78</v>
      </c>
      <c r="J4" s="11" t="str">
        <f>IF(I4&gt;=60,"Pass","Fail")</f>
        <v>Pass</v>
      </c>
      <c r="K4" s="1"/>
      <c r="L4" s="1"/>
      <c r="M4" s="1"/>
      <c r="N4" s="1"/>
      <c r="O4" s="1"/>
    </row>
    <row r="5" spans="1:19" ht="15" thickBot="1" x14ac:dyDescent="0.35">
      <c r="A5" s="1">
        <v>2</v>
      </c>
      <c r="B5" s="1" t="s">
        <v>11</v>
      </c>
      <c r="C5" s="1">
        <v>85</v>
      </c>
      <c r="D5" s="1">
        <v>88</v>
      </c>
      <c r="E5" s="1">
        <v>90</v>
      </c>
      <c r="F5" s="1">
        <v>82</v>
      </c>
      <c r="G5" s="1">
        <v>80</v>
      </c>
      <c r="H5" s="1">
        <f t="shared" ref="H5:H38" si="0">SUM(C5:G5)</f>
        <v>425</v>
      </c>
      <c r="I5" s="1">
        <f t="shared" ref="I5:I38" si="1">H5/500*100</f>
        <v>85</v>
      </c>
      <c r="J5" s="11" t="str">
        <f t="shared" ref="J5:J38" si="2">IF(I5&gt;=60,"Pass","Fail")</f>
        <v>Pass</v>
      </c>
      <c r="K5" s="1"/>
      <c r="L5" s="1"/>
      <c r="M5" s="1"/>
      <c r="N5" s="1"/>
      <c r="O5" s="1"/>
    </row>
    <row r="6" spans="1:19" ht="15" thickBot="1" x14ac:dyDescent="0.35">
      <c r="A6" s="1">
        <v>3</v>
      </c>
      <c r="B6" s="1" t="s">
        <v>12</v>
      </c>
      <c r="C6" s="1">
        <v>65</v>
      </c>
      <c r="D6" s="1">
        <v>60</v>
      </c>
      <c r="E6" s="1">
        <v>55</v>
      </c>
      <c r="F6" s="1">
        <v>58</v>
      </c>
      <c r="G6" s="1">
        <v>62</v>
      </c>
      <c r="H6" s="1">
        <f t="shared" si="0"/>
        <v>300</v>
      </c>
      <c r="I6" s="1">
        <f t="shared" si="1"/>
        <v>60</v>
      </c>
      <c r="J6" s="11" t="str">
        <f t="shared" si="2"/>
        <v>Pass</v>
      </c>
      <c r="K6" s="1"/>
      <c r="L6" s="1"/>
      <c r="M6" s="1"/>
      <c r="N6" s="1"/>
      <c r="O6" s="1"/>
    </row>
    <row r="7" spans="1:19" ht="15" thickBot="1" x14ac:dyDescent="0.35">
      <c r="A7" s="1">
        <v>4</v>
      </c>
      <c r="B7" s="1" t="s">
        <v>13</v>
      </c>
      <c r="C7" s="1">
        <v>92</v>
      </c>
      <c r="D7" s="1">
        <v>89</v>
      </c>
      <c r="E7" s="1">
        <v>88</v>
      </c>
      <c r="F7" s="1">
        <v>85</v>
      </c>
      <c r="G7" s="1">
        <v>87</v>
      </c>
      <c r="H7" s="1">
        <f t="shared" si="0"/>
        <v>441</v>
      </c>
      <c r="I7" s="1">
        <f t="shared" si="1"/>
        <v>88.2</v>
      </c>
      <c r="J7" s="11" t="str">
        <f t="shared" si="2"/>
        <v>Pass</v>
      </c>
      <c r="K7" s="1"/>
      <c r="L7" s="1"/>
      <c r="M7" s="1"/>
      <c r="N7" s="1"/>
      <c r="O7" s="1"/>
    </row>
    <row r="8" spans="1:19" ht="15" thickBot="1" x14ac:dyDescent="0.35">
      <c r="A8" s="1">
        <v>5</v>
      </c>
      <c r="B8" s="1" t="s">
        <v>14</v>
      </c>
      <c r="C8" s="1">
        <v>50</v>
      </c>
      <c r="D8" s="1">
        <v>45</v>
      </c>
      <c r="E8" s="1">
        <v>48</v>
      </c>
      <c r="F8" s="1">
        <v>52</v>
      </c>
      <c r="G8" s="1">
        <v>47</v>
      </c>
      <c r="H8" s="1">
        <f t="shared" si="0"/>
        <v>242</v>
      </c>
      <c r="I8" s="1">
        <f t="shared" si="1"/>
        <v>48.4</v>
      </c>
      <c r="J8" s="10" t="str">
        <f t="shared" si="2"/>
        <v>Fail</v>
      </c>
      <c r="K8" s="1"/>
      <c r="L8" s="1"/>
      <c r="M8" s="1"/>
      <c r="N8" s="1"/>
      <c r="O8" s="1"/>
    </row>
    <row r="9" spans="1:19" ht="15" thickBot="1" x14ac:dyDescent="0.35">
      <c r="A9" s="1">
        <v>6</v>
      </c>
      <c r="B9" s="1" t="s">
        <v>15</v>
      </c>
      <c r="C9" s="1">
        <v>88</v>
      </c>
      <c r="D9" s="1">
        <v>85</v>
      </c>
      <c r="E9" s="1">
        <v>90</v>
      </c>
      <c r="F9" s="1">
        <v>87</v>
      </c>
      <c r="G9" s="1">
        <v>89</v>
      </c>
      <c r="H9" s="1">
        <f t="shared" si="0"/>
        <v>439</v>
      </c>
      <c r="I9" s="1">
        <f t="shared" si="1"/>
        <v>87.8</v>
      </c>
      <c r="J9" s="11" t="str">
        <f t="shared" si="2"/>
        <v>Pass</v>
      </c>
      <c r="K9" s="1"/>
      <c r="L9" s="1"/>
      <c r="M9" s="1"/>
      <c r="N9" s="1"/>
      <c r="O9" s="1"/>
    </row>
    <row r="10" spans="1:19" ht="15" thickBot="1" x14ac:dyDescent="0.35">
      <c r="A10" s="1">
        <v>7</v>
      </c>
      <c r="B10" s="1" t="s">
        <v>16</v>
      </c>
      <c r="C10" s="1">
        <v>70</v>
      </c>
      <c r="D10" s="1">
        <v>68</v>
      </c>
      <c r="E10" s="1">
        <v>65</v>
      </c>
      <c r="F10" s="1">
        <v>72</v>
      </c>
      <c r="G10" s="1">
        <v>69</v>
      </c>
      <c r="H10" s="1">
        <f t="shared" si="0"/>
        <v>344</v>
      </c>
      <c r="I10" s="1">
        <f t="shared" si="1"/>
        <v>68.8</v>
      </c>
      <c r="J10" s="11" t="str">
        <f t="shared" si="2"/>
        <v>Pass</v>
      </c>
      <c r="K10" s="1"/>
      <c r="L10" s="1"/>
      <c r="M10" s="1"/>
      <c r="N10" s="1"/>
      <c r="O10" s="1"/>
    </row>
    <row r="11" spans="1:19" ht="15" thickBot="1" x14ac:dyDescent="0.35">
      <c r="A11" s="1">
        <v>8</v>
      </c>
      <c r="B11" s="1" t="s">
        <v>17</v>
      </c>
      <c r="C11" s="1">
        <v>95</v>
      </c>
      <c r="D11" s="1">
        <v>92</v>
      </c>
      <c r="E11" s="1">
        <v>94</v>
      </c>
      <c r="F11" s="1">
        <v>90</v>
      </c>
      <c r="G11" s="1">
        <v>93</v>
      </c>
      <c r="H11" s="1">
        <f t="shared" si="0"/>
        <v>464</v>
      </c>
      <c r="I11" s="1">
        <f t="shared" si="1"/>
        <v>92.800000000000011</v>
      </c>
      <c r="J11" s="11" t="str">
        <f t="shared" si="2"/>
        <v>Pass</v>
      </c>
      <c r="K11" s="1"/>
      <c r="L11" s="1"/>
      <c r="M11" s="1"/>
      <c r="N11" s="1"/>
      <c r="O11" s="1"/>
    </row>
    <row r="12" spans="1:19" ht="15" thickBot="1" x14ac:dyDescent="0.35">
      <c r="A12" s="1">
        <v>9</v>
      </c>
      <c r="B12" s="1" t="s">
        <v>18</v>
      </c>
      <c r="C12" s="1">
        <v>60</v>
      </c>
      <c r="D12" s="1">
        <v>55</v>
      </c>
      <c r="E12" s="1">
        <v>58</v>
      </c>
      <c r="F12" s="1">
        <v>62</v>
      </c>
      <c r="G12" s="1">
        <v>57</v>
      </c>
      <c r="H12" s="1">
        <f t="shared" si="0"/>
        <v>292</v>
      </c>
      <c r="I12" s="1">
        <f t="shared" si="1"/>
        <v>58.4</v>
      </c>
      <c r="J12" s="10" t="str">
        <f t="shared" si="2"/>
        <v>Fail</v>
      </c>
      <c r="K12" s="1"/>
      <c r="L12" s="1"/>
      <c r="M12" s="1"/>
      <c r="N12" s="1"/>
      <c r="O12" s="1"/>
    </row>
    <row r="13" spans="1:19" ht="15" thickBot="1" x14ac:dyDescent="0.35">
      <c r="A13" s="1">
        <v>10</v>
      </c>
      <c r="B13" s="1" t="s">
        <v>19</v>
      </c>
      <c r="C13" s="1">
        <v>82</v>
      </c>
      <c r="D13" s="1">
        <v>78</v>
      </c>
      <c r="E13" s="1">
        <v>80</v>
      </c>
      <c r="F13" s="1">
        <v>75</v>
      </c>
      <c r="G13" s="1">
        <v>85</v>
      </c>
      <c r="H13" s="1">
        <f t="shared" si="0"/>
        <v>400</v>
      </c>
      <c r="I13" s="1">
        <f t="shared" si="1"/>
        <v>80</v>
      </c>
      <c r="J13" s="11" t="str">
        <f t="shared" si="2"/>
        <v>Pass</v>
      </c>
      <c r="K13" s="1"/>
      <c r="L13" s="1"/>
      <c r="M13" s="1"/>
      <c r="N13" s="1"/>
      <c r="O13" s="1"/>
    </row>
    <row r="14" spans="1:19" ht="15" thickBot="1" x14ac:dyDescent="0.35">
      <c r="A14" s="1">
        <v>11</v>
      </c>
      <c r="B14" s="1" t="s">
        <v>20</v>
      </c>
      <c r="C14" s="1">
        <v>75</v>
      </c>
      <c r="D14" s="1">
        <v>72</v>
      </c>
      <c r="E14" s="1">
        <v>70</v>
      </c>
      <c r="F14" s="1">
        <v>74</v>
      </c>
      <c r="G14" s="1">
        <v>76</v>
      </c>
      <c r="H14" s="1">
        <f t="shared" si="0"/>
        <v>367</v>
      </c>
      <c r="I14" s="1">
        <f t="shared" si="1"/>
        <v>73.400000000000006</v>
      </c>
      <c r="J14" s="11" t="str">
        <f t="shared" si="2"/>
        <v>Pass</v>
      </c>
      <c r="K14" s="1"/>
      <c r="L14" s="1"/>
      <c r="M14" s="1"/>
      <c r="N14" s="1"/>
      <c r="O14" s="1"/>
    </row>
    <row r="15" spans="1:19" ht="15" thickBot="1" x14ac:dyDescent="0.35">
      <c r="A15" s="1">
        <v>12</v>
      </c>
      <c r="B15" s="1" t="s">
        <v>21</v>
      </c>
      <c r="C15" s="1">
        <v>90</v>
      </c>
      <c r="D15" s="1">
        <v>88</v>
      </c>
      <c r="E15" s="1">
        <v>92</v>
      </c>
      <c r="F15" s="1">
        <v>89</v>
      </c>
      <c r="G15" s="1">
        <v>91</v>
      </c>
      <c r="H15" s="1">
        <f t="shared" si="0"/>
        <v>450</v>
      </c>
      <c r="I15" s="1">
        <f t="shared" si="1"/>
        <v>90</v>
      </c>
      <c r="J15" s="11" t="str">
        <f t="shared" si="2"/>
        <v>Pass</v>
      </c>
      <c r="K15" s="1"/>
      <c r="L15" s="1"/>
      <c r="M15" s="1"/>
      <c r="N15" s="1"/>
      <c r="O15" s="1"/>
    </row>
    <row r="16" spans="1:19" ht="15" thickBot="1" x14ac:dyDescent="0.35">
      <c r="A16" s="1">
        <v>13</v>
      </c>
      <c r="B16" s="1" t="s">
        <v>22</v>
      </c>
      <c r="C16" s="1">
        <v>55</v>
      </c>
      <c r="D16" s="1">
        <v>50</v>
      </c>
      <c r="E16" s="1">
        <v>52</v>
      </c>
      <c r="F16" s="1">
        <v>58</v>
      </c>
      <c r="G16" s="1">
        <v>54</v>
      </c>
      <c r="H16" s="1">
        <f t="shared" si="0"/>
        <v>269</v>
      </c>
      <c r="I16" s="1">
        <f t="shared" si="1"/>
        <v>53.800000000000004</v>
      </c>
      <c r="J16" s="10" t="str">
        <f t="shared" si="2"/>
        <v>Fail</v>
      </c>
      <c r="K16" s="1"/>
      <c r="L16" s="1"/>
      <c r="M16" s="1"/>
      <c r="N16" s="1"/>
      <c r="O16" s="1"/>
    </row>
    <row r="17" spans="1:15" ht="15" thickBot="1" x14ac:dyDescent="0.35">
      <c r="A17" s="1">
        <v>14</v>
      </c>
      <c r="B17" s="1" t="s">
        <v>23</v>
      </c>
      <c r="C17" s="1">
        <v>80</v>
      </c>
      <c r="D17" s="1">
        <v>75</v>
      </c>
      <c r="E17" s="1">
        <v>78</v>
      </c>
      <c r="F17" s="1">
        <v>76</v>
      </c>
      <c r="G17" s="1">
        <v>81</v>
      </c>
      <c r="H17" s="1">
        <f t="shared" si="0"/>
        <v>390</v>
      </c>
      <c r="I17" s="1">
        <f t="shared" si="1"/>
        <v>78</v>
      </c>
      <c r="J17" s="11" t="str">
        <f t="shared" si="2"/>
        <v>Pass</v>
      </c>
      <c r="K17" s="1"/>
      <c r="L17" s="1"/>
      <c r="M17" s="1"/>
      <c r="N17" s="1"/>
      <c r="O17" s="1"/>
    </row>
    <row r="18" spans="1:15" ht="15" thickBot="1" x14ac:dyDescent="0.35">
      <c r="A18" s="1">
        <v>15</v>
      </c>
      <c r="B18" s="1" t="s">
        <v>24</v>
      </c>
      <c r="C18" s="1">
        <v>68</v>
      </c>
      <c r="D18" s="1">
        <v>65</v>
      </c>
      <c r="E18" s="1">
        <v>67</v>
      </c>
      <c r="F18" s="1">
        <v>70</v>
      </c>
      <c r="G18" s="1">
        <v>66</v>
      </c>
      <c r="H18" s="1">
        <f t="shared" si="0"/>
        <v>336</v>
      </c>
      <c r="I18" s="12">
        <f t="shared" si="1"/>
        <v>67.2</v>
      </c>
      <c r="J18" s="11" t="str">
        <f t="shared" si="2"/>
        <v>Pass</v>
      </c>
      <c r="K18" s="1"/>
      <c r="L18" s="1"/>
      <c r="M18" s="1"/>
      <c r="N18" s="1"/>
      <c r="O18" s="1"/>
    </row>
    <row r="19" spans="1:15" ht="15" thickBot="1" x14ac:dyDescent="0.35">
      <c r="A19" s="1">
        <v>16</v>
      </c>
      <c r="B19" s="1" t="s">
        <v>25</v>
      </c>
      <c r="C19" s="1">
        <v>93</v>
      </c>
      <c r="D19" s="1">
        <v>90</v>
      </c>
      <c r="E19" s="1">
        <v>88</v>
      </c>
      <c r="F19" s="1">
        <v>91</v>
      </c>
      <c r="G19" s="1">
        <v>92</v>
      </c>
      <c r="H19" s="1">
        <f t="shared" si="0"/>
        <v>454</v>
      </c>
      <c r="I19" s="1">
        <f t="shared" si="1"/>
        <v>90.8</v>
      </c>
      <c r="J19" s="11" t="str">
        <f t="shared" si="2"/>
        <v>Pass</v>
      </c>
      <c r="K19" s="1"/>
      <c r="L19" s="1"/>
      <c r="M19" s="1"/>
      <c r="N19" s="1"/>
      <c r="O19" s="1"/>
    </row>
    <row r="20" spans="1:15" ht="15" thickBot="1" x14ac:dyDescent="0.35">
      <c r="A20" s="1">
        <v>17</v>
      </c>
      <c r="B20" s="1" t="s">
        <v>26</v>
      </c>
      <c r="C20" s="1">
        <v>72</v>
      </c>
      <c r="D20" s="1">
        <v>70</v>
      </c>
      <c r="E20" s="1">
        <v>74</v>
      </c>
      <c r="F20" s="1">
        <v>76</v>
      </c>
      <c r="G20" s="1">
        <v>73</v>
      </c>
      <c r="H20" s="1">
        <f t="shared" si="0"/>
        <v>365</v>
      </c>
      <c r="I20" s="1">
        <f t="shared" si="1"/>
        <v>73</v>
      </c>
      <c r="J20" s="11" t="str">
        <f t="shared" si="2"/>
        <v>Pass</v>
      </c>
      <c r="K20" s="1"/>
      <c r="L20" s="1"/>
      <c r="M20" s="1"/>
      <c r="N20" s="1"/>
      <c r="O20" s="1"/>
    </row>
    <row r="21" spans="1:15" ht="15" thickBot="1" x14ac:dyDescent="0.35">
      <c r="A21" s="1">
        <v>18</v>
      </c>
      <c r="B21" s="1" t="s">
        <v>27</v>
      </c>
      <c r="C21" s="1">
        <v>85</v>
      </c>
      <c r="D21" s="1">
        <v>82</v>
      </c>
      <c r="E21" s="1">
        <v>86</v>
      </c>
      <c r="F21" s="1">
        <v>84</v>
      </c>
      <c r="G21" s="1">
        <v>88</v>
      </c>
      <c r="H21" s="1">
        <f t="shared" si="0"/>
        <v>425</v>
      </c>
      <c r="I21" s="1">
        <f t="shared" si="1"/>
        <v>85</v>
      </c>
      <c r="J21" s="11" t="str">
        <f t="shared" si="2"/>
        <v>Pass</v>
      </c>
      <c r="K21" s="1"/>
      <c r="L21" s="1"/>
      <c r="M21" s="1"/>
      <c r="N21" s="1"/>
      <c r="O21" s="1"/>
    </row>
    <row r="22" spans="1:15" ht="15" thickBot="1" x14ac:dyDescent="0.35">
      <c r="A22" s="1">
        <v>19</v>
      </c>
      <c r="B22" s="1" t="s">
        <v>28</v>
      </c>
      <c r="C22" s="1">
        <v>58</v>
      </c>
      <c r="D22" s="1">
        <v>55</v>
      </c>
      <c r="E22" s="1">
        <v>56</v>
      </c>
      <c r="F22" s="1">
        <v>60</v>
      </c>
      <c r="G22" s="1">
        <v>57</v>
      </c>
      <c r="H22" s="1">
        <f t="shared" si="0"/>
        <v>286</v>
      </c>
      <c r="I22" s="1">
        <f t="shared" si="1"/>
        <v>57.199999999999996</v>
      </c>
      <c r="J22" s="10" t="str">
        <f t="shared" si="2"/>
        <v>Fail</v>
      </c>
      <c r="K22" s="1"/>
      <c r="L22" s="1"/>
      <c r="M22" s="1"/>
      <c r="N22" s="1"/>
      <c r="O22" s="1"/>
    </row>
    <row r="23" spans="1:15" ht="15" thickBot="1" x14ac:dyDescent="0.35">
      <c r="A23" s="1">
        <v>20</v>
      </c>
      <c r="B23" s="1" t="s">
        <v>29</v>
      </c>
      <c r="C23" s="1">
        <v>91</v>
      </c>
      <c r="D23" s="1">
        <v>89</v>
      </c>
      <c r="E23" s="1">
        <v>93</v>
      </c>
      <c r="F23" s="1">
        <v>90</v>
      </c>
      <c r="G23" s="1">
        <v>92</v>
      </c>
      <c r="H23" s="1">
        <f t="shared" si="0"/>
        <v>455</v>
      </c>
      <c r="I23" s="1">
        <f t="shared" si="1"/>
        <v>91</v>
      </c>
      <c r="J23" s="11" t="str">
        <f t="shared" si="2"/>
        <v>Pass</v>
      </c>
      <c r="K23" s="1"/>
      <c r="L23" s="1"/>
      <c r="M23" s="1"/>
      <c r="N23" s="1"/>
      <c r="O23" s="1"/>
    </row>
    <row r="24" spans="1:15" ht="15" thickBot="1" x14ac:dyDescent="0.35">
      <c r="A24" s="1">
        <v>21</v>
      </c>
      <c r="B24" s="1" t="s">
        <v>30</v>
      </c>
      <c r="C24" s="1">
        <v>74</v>
      </c>
      <c r="D24" s="1">
        <v>72</v>
      </c>
      <c r="E24" s="1">
        <v>76</v>
      </c>
      <c r="F24" s="1">
        <v>78</v>
      </c>
      <c r="G24" s="1">
        <v>75</v>
      </c>
      <c r="H24" s="1">
        <f t="shared" si="0"/>
        <v>375</v>
      </c>
      <c r="I24" s="1">
        <f t="shared" si="1"/>
        <v>75</v>
      </c>
      <c r="J24" s="11" t="str">
        <f t="shared" si="2"/>
        <v>Pass</v>
      </c>
      <c r="K24" s="1"/>
      <c r="L24" s="1"/>
      <c r="M24" s="1"/>
      <c r="N24" s="1"/>
      <c r="O24" s="1"/>
    </row>
    <row r="25" spans="1:15" ht="15" thickBot="1" x14ac:dyDescent="0.35">
      <c r="A25" s="1">
        <v>22</v>
      </c>
      <c r="B25" s="1" t="s">
        <v>31</v>
      </c>
      <c r="C25" s="1">
        <v>87</v>
      </c>
      <c r="D25" s="1">
        <v>85</v>
      </c>
      <c r="E25" s="1">
        <v>88</v>
      </c>
      <c r="F25" s="1">
        <v>86</v>
      </c>
      <c r="G25" s="1">
        <v>89</v>
      </c>
      <c r="H25" s="1">
        <f t="shared" si="0"/>
        <v>435</v>
      </c>
      <c r="I25" s="1">
        <f t="shared" si="1"/>
        <v>87</v>
      </c>
      <c r="J25" s="11" t="str">
        <f t="shared" si="2"/>
        <v>Pass</v>
      </c>
      <c r="K25" s="1"/>
      <c r="L25" s="1"/>
      <c r="M25" s="1"/>
      <c r="N25" s="1"/>
      <c r="O25" s="1"/>
    </row>
    <row r="26" spans="1:15" ht="15" thickBot="1" x14ac:dyDescent="0.35">
      <c r="A26" s="1">
        <v>23</v>
      </c>
      <c r="B26" s="1" t="s">
        <v>32</v>
      </c>
      <c r="C26" s="1">
        <v>62</v>
      </c>
      <c r="D26" s="1">
        <v>60</v>
      </c>
      <c r="E26" s="1">
        <v>65</v>
      </c>
      <c r="F26" s="1">
        <v>68</v>
      </c>
      <c r="G26" s="1">
        <v>63</v>
      </c>
      <c r="H26" s="1">
        <f t="shared" si="0"/>
        <v>318</v>
      </c>
      <c r="I26" s="1">
        <f t="shared" si="1"/>
        <v>63.6</v>
      </c>
      <c r="J26" s="11" t="str">
        <f t="shared" si="2"/>
        <v>Pass</v>
      </c>
      <c r="K26" s="1"/>
      <c r="L26" s="1"/>
      <c r="M26" s="1"/>
      <c r="N26" s="1"/>
      <c r="O26" s="1"/>
    </row>
    <row r="27" spans="1:15" ht="15" thickBot="1" x14ac:dyDescent="0.35">
      <c r="A27" s="1">
        <v>24</v>
      </c>
      <c r="B27" s="1" t="s">
        <v>33</v>
      </c>
      <c r="C27" s="1">
        <v>89</v>
      </c>
      <c r="D27" s="1">
        <v>86</v>
      </c>
      <c r="E27" s="1">
        <v>90</v>
      </c>
      <c r="F27" s="1">
        <v>88</v>
      </c>
      <c r="G27" s="1">
        <v>91</v>
      </c>
      <c r="H27" s="1">
        <f t="shared" si="0"/>
        <v>444</v>
      </c>
      <c r="I27" s="1">
        <f t="shared" si="1"/>
        <v>88.8</v>
      </c>
      <c r="J27" s="11" t="str">
        <f t="shared" si="2"/>
        <v>Pass</v>
      </c>
      <c r="K27" s="1"/>
      <c r="L27" s="1"/>
      <c r="M27" s="1"/>
      <c r="N27" s="1"/>
      <c r="O27" s="1"/>
    </row>
    <row r="28" spans="1:15" ht="15" thickBot="1" x14ac:dyDescent="0.35">
      <c r="A28" s="1">
        <v>25</v>
      </c>
      <c r="B28" s="1" t="s">
        <v>34</v>
      </c>
      <c r="C28" s="1">
        <v>70</v>
      </c>
      <c r="D28" s="1">
        <v>68</v>
      </c>
      <c r="E28" s="1">
        <v>72</v>
      </c>
      <c r="F28" s="1">
        <v>74</v>
      </c>
      <c r="G28" s="1">
        <v>71</v>
      </c>
      <c r="H28" s="1">
        <f t="shared" si="0"/>
        <v>355</v>
      </c>
      <c r="I28" s="1">
        <f t="shared" si="1"/>
        <v>71</v>
      </c>
      <c r="J28" s="11" t="str">
        <f t="shared" si="2"/>
        <v>Pass</v>
      </c>
      <c r="K28" s="1"/>
      <c r="L28" s="1"/>
      <c r="M28" s="1"/>
      <c r="N28" s="1"/>
      <c r="O28" s="1"/>
    </row>
    <row r="29" spans="1:15" ht="15" thickBot="1" x14ac:dyDescent="0.35">
      <c r="A29" s="1">
        <v>26</v>
      </c>
      <c r="B29" s="1" t="s">
        <v>35</v>
      </c>
      <c r="C29" s="1">
        <v>94</v>
      </c>
      <c r="D29" s="1">
        <v>92</v>
      </c>
      <c r="E29" s="1">
        <v>95</v>
      </c>
      <c r="F29" s="1">
        <v>93</v>
      </c>
      <c r="G29" s="1">
        <v>94</v>
      </c>
      <c r="H29" s="1">
        <f t="shared" si="0"/>
        <v>468</v>
      </c>
      <c r="I29" s="1">
        <f t="shared" si="1"/>
        <v>93.600000000000009</v>
      </c>
      <c r="J29" s="11" t="str">
        <f t="shared" si="2"/>
        <v>Pass</v>
      </c>
      <c r="K29" s="1"/>
      <c r="L29" s="1"/>
      <c r="M29" s="1"/>
      <c r="N29" s="1"/>
      <c r="O29" s="1"/>
    </row>
    <row r="30" spans="1:15" ht="15" thickBot="1" x14ac:dyDescent="0.35">
      <c r="A30" s="1">
        <v>27</v>
      </c>
      <c r="B30" s="1" t="s">
        <v>36</v>
      </c>
      <c r="C30" s="1">
        <v>63</v>
      </c>
      <c r="D30" s="1">
        <v>60</v>
      </c>
      <c r="E30" s="1">
        <v>65</v>
      </c>
      <c r="F30" s="1">
        <v>67</v>
      </c>
      <c r="G30" s="1">
        <v>62</v>
      </c>
      <c r="H30" s="1">
        <f t="shared" si="0"/>
        <v>317</v>
      </c>
      <c r="I30" s="1">
        <f t="shared" si="1"/>
        <v>63.4</v>
      </c>
      <c r="J30" s="11" t="str">
        <f t="shared" si="2"/>
        <v>Pass</v>
      </c>
      <c r="K30" s="1"/>
      <c r="L30" s="1"/>
      <c r="M30" s="1"/>
      <c r="N30" s="1"/>
      <c r="O30" s="1"/>
    </row>
    <row r="31" spans="1:15" ht="15" thickBot="1" x14ac:dyDescent="0.35">
      <c r="A31" s="1">
        <v>28</v>
      </c>
      <c r="B31" s="1" t="s">
        <v>37</v>
      </c>
      <c r="C31" s="1">
        <v>86</v>
      </c>
      <c r="D31" s="1">
        <v>83</v>
      </c>
      <c r="E31" s="1">
        <v>87</v>
      </c>
      <c r="F31" s="1">
        <v>85</v>
      </c>
      <c r="G31" s="1">
        <v>89</v>
      </c>
      <c r="H31" s="1">
        <f t="shared" si="0"/>
        <v>430</v>
      </c>
      <c r="I31" s="1">
        <f t="shared" si="1"/>
        <v>86</v>
      </c>
      <c r="J31" s="11" t="str">
        <f t="shared" si="2"/>
        <v>Pass</v>
      </c>
      <c r="K31" s="1"/>
      <c r="L31" s="1"/>
      <c r="M31" s="1"/>
      <c r="N31" s="1"/>
      <c r="O31" s="1"/>
    </row>
    <row r="32" spans="1:15" ht="15" thickBot="1" x14ac:dyDescent="0.35">
      <c r="A32" s="1">
        <v>29</v>
      </c>
      <c r="B32" s="1" t="s">
        <v>38</v>
      </c>
      <c r="C32" s="1">
        <v>56</v>
      </c>
      <c r="D32" s="1">
        <v>54</v>
      </c>
      <c r="E32" s="1">
        <v>58</v>
      </c>
      <c r="F32" s="1">
        <v>60</v>
      </c>
      <c r="G32" s="1">
        <v>55</v>
      </c>
      <c r="H32" s="1">
        <f t="shared" si="0"/>
        <v>283</v>
      </c>
      <c r="I32" s="1">
        <f t="shared" si="1"/>
        <v>56.599999999999994</v>
      </c>
      <c r="J32" s="10" t="str">
        <f t="shared" si="2"/>
        <v>Fail</v>
      </c>
      <c r="K32" s="1"/>
      <c r="L32" s="1"/>
      <c r="M32" s="1"/>
      <c r="N32" s="1"/>
      <c r="O32" s="1"/>
    </row>
    <row r="33" spans="1:15" ht="15" thickBot="1" x14ac:dyDescent="0.35">
      <c r="A33" s="1">
        <v>30</v>
      </c>
      <c r="B33" s="1" t="s">
        <v>39</v>
      </c>
      <c r="C33" s="1">
        <v>90</v>
      </c>
      <c r="D33" s="1">
        <v>88</v>
      </c>
      <c r="E33" s="1">
        <v>91</v>
      </c>
      <c r="F33" s="1">
        <v>89</v>
      </c>
      <c r="G33" s="1">
        <v>92</v>
      </c>
      <c r="H33" s="1">
        <f t="shared" si="0"/>
        <v>450</v>
      </c>
      <c r="I33" s="1">
        <f t="shared" si="1"/>
        <v>90</v>
      </c>
      <c r="J33" s="11" t="str">
        <f t="shared" si="2"/>
        <v>Pass</v>
      </c>
      <c r="K33" s="1"/>
      <c r="L33" s="1"/>
      <c r="M33" s="1"/>
      <c r="N33" s="1"/>
      <c r="O33" s="1"/>
    </row>
    <row r="34" spans="1:15" ht="15" thickBot="1" x14ac:dyDescent="0.35">
      <c r="A34" s="1">
        <v>31</v>
      </c>
      <c r="B34" s="1" t="s">
        <v>40</v>
      </c>
      <c r="C34" s="1">
        <v>73</v>
      </c>
      <c r="D34" s="1">
        <v>75</v>
      </c>
      <c r="E34" s="1">
        <v>77</v>
      </c>
      <c r="F34" s="1">
        <v>78</v>
      </c>
      <c r="G34" s="1">
        <v>74</v>
      </c>
      <c r="H34" s="1">
        <f t="shared" si="0"/>
        <v>377</v>
      </c>
      <c r="I34" s="1">
        <f t="shared" si="1"/>
        <v>75.400000000000006</v>
      </c>
      <c r="J34" s="11" t="str">
        <f t="shared" si="2"/>
        <v>Pass</v>
      </c>
      <c r="K34" s="1"/>
      <c r="L34" s="1"/>
      <c r="M34" s="1"/>
      <c r="N34" s="1"/>
      <c r="O34" s="1"/>
    </row>
    <row r="35" spans="1:15" ht="15" thickBot="1" x14ac:dyDescent="0.35">
      <c r="A35" s="1">
        <v>32</v>
      </c>
      <c r="B35" s="1" t="s">
        <v>41</v>
      </c>
      <c r="C35" s="1">
        <v>81</v>
      </c>
      <c r="D35" s="1">
        <v>80</v>
      </c>
      <c r="E35" s="1">
        <v>82</v>
      </c>
      <c r="F35" s="1">
        <v>84</v>
      </c>
      <c r="G35" s="1">
        <v>83</v>
      </c>
      <c r="H35" s="1">
        <f t="shared" si="0"/>
        <v>410</v>
      </c>
      <c r="I35" s="1">
        <f t="shared" si="1"/>
        <v>82</v>
      </c>
      <c r="J35" s="11" t="str">
        <f t="shared" si="2"/>
        <v>Pass</v>
      </c>
      <c r="K35" s="1"/>
      <c r="L35" s="1"/>
      <c r="M35" s="1"/>
      <c r="N35" s="1"/>
      <c r="O35" s="1"/>
    </row>
    <row r="36" spans="1:15" ht="15" thickBot="1" x14ac:dyDescent="0.35">
      <c r="A36" s="1">
        <v>33</v>
      </c>
      <c r="B36" s="1" t="s">
        <v>42</v>
      </c>
      <c r="C36" s="1">
        <v>67</v>
      </c>
      <c r="D36" s="1">
        <v>65</v>
      </c>
      <c r="E36" s="1">
        <v>66</v>
      </c>
      <c r="F36" s="1">
        <v>69</v>
      </c>
      <c r="G36" s="1">
        <v>68</v>
      </c>
      <c r="H36" s="1">
        <f t="shared" si="0"/>
        <v>335</v>
      </c>
      <c r="I36" s="1">
        <f t="shared" si="1"/>
        <v>67</v>
      </c>
      <c r="J36" s="11" t="str">
        <f t="shared" si="2"/>
        <v>Pass</v>
      </c>
      <c r="K36" s="1"/>
      <c r="L36" s="1"/>
      <c r="M36" s="1"/>
      <c r="N36" s="1"/>
      <c r="O36" s="1"/>
    </row>
    <row r="37" spans="1:15" ht="15" thickBot="1" x14ac:dyDescent="0.35">
      <c r="A37" s="1">
        <v>34</v>
      </c>
      <c r="B37" s="1" t="s">
        <v>43</v>
      </c>
      <c r="C37" s="1">
        <v>88</v>
      </c>
      <c r="D37" s="1">
        <v>86</v>
      </c>
      <c r="E37" s="1">
        <v>89</v>
      </c>
      <c r="F37" s="1">
        <v>87</v>
      </c>
      <c r="G37" s="1">
        <v>90</v>
      </c>
      <c r="H37" s="1">
        <f t="shared" si="0"/>
        <v>440</v>
      </c>
      <c r="I37" s="1">
        <f t="shared" si="1"/>
        <v>88</v>
      </c>
      <c r="J37" s="11" t="str">
        <f t="shared" si="2"/>
        <v>Pass</v>
      </c>
      <c r="K37" s="1"/>
      <c r="L37" s="1"/>
      <c r="M37" s="1"/>
      <c r="N37" s="1"/>
      <c r="O37" s="1"/>
    </row>
    <row r="38" spans="1:15" ht="15" thickBot="1" x14ac:dyDescent="0.35">
      <c r="A38" s="1">
        <v>35</v>
      </c>
      <c r="B38" s="1" t="s">
        <v>44</v>
      </c>
      <c r="C38" s="1">
        <v>76</v>
      </c>
      <c r="D38" s="1">
        <v>74</v>
      </c>
      <c r="E38" s="1">
        <v>78</v>
      </c>
      <c r="F38" s="1">
        <v>80</v>
      </c>
      <c r="G38" s="1">
        <v>77</v>
      </c>
      <c r="H38" s="1">
        <f t="shared" si="0"/>
        <v>385</v>
      </c>
      <c r="I38" s="1">
        <f t="shared" si="1"/>
        <v>77</v>
      </c>
      <c r="J38" s="11" t="str">
        <f t="shared" si="2"/>
        <v>Pass</v>
      </c>
      <c r="K38" s="1"/>
      <c r="L38" s="1"/>
      <c r="M38" s="1"/>
      <c r="N38" s="1"/>
      <c r="O38" s="1"/>
    </row>
    <row r="39" spans="1:15" ht="15" thickBot="1" x14ac:dyDescent="0.35">
      <c r="J39" s="1"/>
    </row>
    <row r="40" spans="1:15" ht="15" thickBot="1" x14ac:dyDescent="0.35">
      <c r="J40" s="1"/>
    </row>
  </sheetData>
  <mergeCells count="1">
    <mergeCell ref="A1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4BFC-9760-4046-8EC0-C0BE40455F30}">
  <dimension ref="A1:XFD45"/>
  <sheetViews>
    <sheetView topLeftCell="B32" zoomScale="137" zoomScaleNormal="119" workbookViewId="0">
      <selection activeCell="H40" sqref="H40"/>
    </sheetView>
  </sheetViews>
  <sheetFormatPr defaultRowHeight="14.4" x14ac:dyDescent="0.3"/>
  <cols>
    <col min="1" max="1" width="11.77734375" customWidth="1"/>
    <col min="2" max="2" width="13.77734375" bestFit="1" customWidth="1"/>
    <col min="8" max="8" width="14" customWidth="1"/>
  </cols>
  <sheetData>
    <row r="1" spans="1:8" x14ac:dyDescent="0.3">
      <c r="A1" t="str">
        <f>'Raw data'!A3</f>
        <v>Roll No</v>
      </c>
      <c r="B1" t="str">
        <f>'Raw data'!B3</f>
        <v>Name</v>
      </c>
      <c r="C1" t="str">
        <f>'Raw data'!C3</f>
        <v>Math</v>
      </c>
      <c r="D1" t="str">
        <f>'Raw data'!D3</f>
        <v>Physics</v>
      </c>
      <c r="E1" t="str">
        <f>'Raw data'!E3</f>
        <v>Chemistry</v>
      </c>
      <c r="F1" t="str">
        <f>'Raw data'!F3</f>
        <v>Biology</v>
      </c>
      <c r="G1" t="str">
        <f>'Raw data'!G3</f>
        <v>English</v>
      </c>
      <c r="H1" t="str">
        <f>'Raw data'!H3</f>
        <v>Total</v>
      </c>
    </row>
    <row r="2" spans="1:8" x14ac:dyDescent="0.3">
      <c r="A2">
        <f>'Raw data'!A4</f>
        <v>1</v>
      </c>
      <c r="B2" t="str">
        <f>'Raw data'!B4</f>
        <v>Amit Sharma</v>
      </c>
      <c r="C2">
        <f>'Raw data'!C4</f>
        <v>78</v>
      </c>
      <c r="D2">
        <f>'Raw data'!D4</f>
        <v>72</v>
      </c>
      <c r="E2">
        <f>'Raw data'!E4</f>
        <v>85</v>
      </c>
      <c r="F2">
        <f>'Raw data'!F4</f>
        <v>80</v>
      </c>
      <c r="G2">
        <f>'Raw data'!G4</f>
        <v>75</v>
      </c>
      <c r="H2">
        <f>'Raw data'!H4</f>
        <v>390</v>
      </c>
    </row>
    <row r="3" spans="1:8" x14ac:dyDescent="0.3">
      <c r="A3">
        <f>'Raw data'!A5</f>
        <v>2</v>
      </c>
      <c r="B3" t="str">
        <f>'Raw data'!B5</f>
        <v>Priya Singh</v>
      </c>
      <c r="C3">
        <f>'Raw data'!C5</f>
        <v>85</v>
      </c>
      <c r="D3">
        <f>'Raw data'!D5</f>
        <v>88</v>
      </c>
      <c r="E3">
        <f>'Raw data'!E5</f>
        <v>90</v>
      </c>
      <c r="F3">
        <f>'Raw data'!F5</f>
        <v>82</v>
      </c>
      <c r="G3">
        <f>'Raw data'!G5</f>
        <v>80</v>
      </c>
      <c r="H3">
        <f>'Raw data'!H5</f>
        <v>425</v>
      </c>
    </row>
    <row r="4" spans="1:8" x14ac:dyDescent="0.3">
      <c r="A4">
        <f>'Raw data'!A6</f>
        <v>3</v>
      </c>
      <c r="B4" t="str">
        <f>'Raw data'!B6</f>
        <v>Ravi Kumar</v>
      </c>
      <c r="C4">
        <f>'Raw data'!C6</f>
        <v>65</v>
      </c>
      <c r="D4">
        <f>'Raw data'!D6</f>
        <v>60</v>
      </c>
      <c r="E4">
        <f>'Raw data'!E6</f>
        <v>55</v>
      </c>
      <c r="F4">
        <f>'Raw data'!F6</f>
        <v>58</v>
      </c>
      <c r="G4">
        <f>'Raw data'!G6</f>
        <v>62</v>
      </c>
      <c r="H4">
        <f>'Raw data'!H6</f>
        <v>300</v>
      </c>
    </row>
    <row r="5" spans="1:8" x14ac:dyDescent="0.3">
      <c r="A5">
        <f>'Raw data'!A7</f>
        <v>4</v>
      </c>
      <c r="B5" t="str">
        <f>'Raw data'!B7</f>
        <v>Meena Patel</v>
      </c>
      <c r="C5">
        <f>'Raw data'!C7</f>
        <v>92</v>
      </c>
      <c r="D5">
        <f>'Raw data'!D7</f>
        <v>89</v>
      </c>
      <c r="E5">
        <f>'Raw data'!E7</f>
        <v>88</v>
      </c>
      <c r="F5">
        <f>'Raw data'!F7</f>
        <v>85</v>
      </c>
      <c r="G5">
        <f>'Raw data'!G7</f>
        <v>87</v>
      </c>
      <c r="H5">
        <f>'Raw data'!H7</f>
        <v>441</v>
      </c>
    </row>
    <row r="6" spans="1:8" x14ac:dyDescent="0.3">
      <c r="A6">
        <f>'Raw data'!A8</f>
        <v>5</v>
      </c>
      <c r="B6" t="str">
        <f>'Raw data'!B8</f>
        <v>Deepak Joshi</v>
      </c>
      <c r="C6" s="3">
        <f>'Raw data'!C8</f>
        <v>50</v>
      </c>
      <c r="D6" s="3">
        <f>'Raw data'!D8</f>
        <v>45</v>
      </c>
      <c r="E6" s="3">
        <f>'Raw data'!E8</f>
        <v>48</v>
      </c>
      <c r="F6" s="3">
        <f>'Raw data'!F8</f>
        <v>52</v>
      </c>
      <c r="G6" s="3">
        <f>'Raw data'!G8</f>
        <v>47</v>
      </c>
      <c r="H6">
        <f>'Raw data'!H8</f>
        <v>242</v>
      </c>
    </row>
    <row r="7" spans="1:8" x14ac:dyDescent="0.3">
      <c r="A7">
        <f>'Raw data'!A9</f>
        <v>6</v>
      </c>
      <c r="B7" t="str">
        <f>'Raw data'!B9</f>
        <v>Sunita Das</v>
      </c>
      <c r="C7">
        <f>'Raw data'!C9</f>
        <v>88</v>
      </c>
      <c r="D7">
        <f>'Raw data'!D9</f>
        <v>85</v>
      </c>
      <c r="E7">
        <f>'Raw data'!E9</f>
        <v>90</v>
      </c>
      <c r="F7">
        <f>'Raw data'!F9</f>
        <v>87</v>
      </c>
      <c r="G7">
        <f>'Raw data'!G9</f>
        <v>89</v>
      </c>
      <c r="H7">
        <f>'Raw data'!H9</f>
        <v>439</v>
      </c>
    </row>
    <row r="8" spans="1:8" x14ac:dyDescent="0.3">
      <c r="A8">
        <f>'Raw data'!A10</f>
        <v>7</v>
      </c>
      <c r="B8" t="str">
        <f>'Raw data'!B10</f>
        <v>Manoj Tiwari</v>
      </c>
      <c r="C8">
        <f>'Raw data'!C10</f>
        <v>70</v>
      </c>
      <c r="D8">
        <f>'Raw data'!D10</f>
        <v>68</v>
      </c>
      <c r="E8">
        <f>'Raw data'!E10</f>
        <v>65</v>
      </c>
      <c r="F8">
        <f>'Raw data'!F10</f>
        <v>72</v>
      </c>
      <c r="G8">
        <f>'Raw data'!G10</f>
        <v>69</v>
      </c>
      <c r="H8">
        <f>'Raw data'!H10</f>
        <v>344</v>
      </c>
    </row>
    <row r="9" spans="1:8" x14ac:dyDescent="0.3">
      <c r="A9">
        <f>'Raw data'!A11</f>
        <v>8</v>
      </c>
      <c r="B9" t="str">
        <f>'Raw data'!B11</f>
        <v>Neha Verma</v>
      </c>
      <c r="C9" s="2">
        <f>'Raw data'!C11</f>
        <v>95</v>
      </c>
      <c r="D9">
        <f>'Raw data'!D11</f>
        <v>92</v>
      </c>
      <c r="E9">
        <f>'Raw data'!E11</f>
        <v>94</v>
      </c>
      <c r="F9">
        <f>'Raw data'!F11</f>
        <v>90</v>
      </c>
      <c r="G9">
        <f>'Raw data'!G11</f>
        <v>93</v>
      </c>
      <c r="H9">
        <f>'Raw data'!H11</f>
        <v>464</v>
      </c>
    </row>
    <row r="10" spans="1:8" x14ac:dyDescent="0.3">
      <c r="A10">
        <f>'Raw data'!A12</f>
        <v>9</v>
      </c>
      <c r="B10" t="str">
        <f>'Raw data'!B12</f>
        <v>Rohan Mehta</v>
      </c>
      <c r="C10">
        <f>'Raw data'!C12</f>
        <v>60</v>
      </c>
      <c r="D10">
        <f>'Raw data'!D12</f>
        <v>55</v>
      </c>
      <c r="E10">
        <f>'Raw data'!E12</f>
        <v>58</v>
      </c>
      <c r="F10">
        <f>'Raw data'!F12</f>
        <v>62</v>
      </c>
      <c r="G10">
        <f>'Raw data'!G12</f>
        <v>57</v>
      </c>
      <c r="H10">
        <f>'Raw data'!H12</f>
        <v>292</v>
      </c>
    </row>
    <row r="11" spans="1:8" x14ac:dyDescent="0.3">
      <c r="A11">
        <f>'Raw data'!A13</f>
        <v>10</v>
      </c>
      <c r="B11" t="str">
        <f>'Raw data'!B13</f>
        <v>Anjali Gupta</v>
      </c>
      <c r="C11">
        <f>'Raw data'!C13</f>
        <v>82</v>
      </c>
      <c r="D11">
        <f>'Raw data'!D13</f>
        <v>78</v>
      </c>
      <c r="E11">
        <f>'Raw data'!E13</f>
        <v>80</v>
      </c>
      <c r="F11">
        <f>'Raw data'!F13</f>
        <v>75</v>
      </c>
      <c r="G11">
        <f>'Raw data'!G13</f>
        <v>85</v>
      </c>
      <c r="H11">
        <f>'Raw data'!H13</f>
        <v>400</v>
      </c>
    </row>
    <row r="12" spans="1:8" x14ac:dyDescent="0.3">
      <c r="A12">
        <f>'Raw data'!A14</f>
        <v>11</v>
      </c>
      <c r="B12" t="str">
        <f>'Raw data'!B14</f>
        <v>Arjun Malhotra</v>
      </c>
      <c r="C12">
        <f>'Raw data'!C14</f>
        <v>75</v>
      </c>
      <c r="D12">
        <f>'Raw data'!D14</f>
        <v>72</v>
      </c>
      <c r="E12">
        <f>'Raw data'!E14</f>
        <v>70</v>
      </c>
      <c r="F12">
        <f>'Raw data'!F14</f>
        <v>74</v>
      </c>
      <c r="G12">
        <f>'Raw data'!G14</f>
        <v>76</v>
      </c>
      <c r="H12">
        <f>'Raw data'!H14</f>
        <v>367</v>
      </c>
    </row>
    <row r="13" spans="1:8" x14ac:dyDescent="0.3">
      <c r="A13">
        <f>'Raw data'!A15</f>
        <v>12</v>
      </c>
      <c r="B13" t="str">
        <f>'Raw data'!B15</f>
        <v>Pooja Nair</v>
      </c>
      <c r="C13">
        <f>'Raw data'!C15</f>
        <v>90</v>
      </c>
      <c r="D13">
        <f>'Raw data'!D15</f>
        <v>88</v>
      </c>
      <c r="E13">
        <f>'Raw data'!E15</f>
        <v>92</v>
      </c>
      <c r="F13">
        <f>'Raw data'!F15</f>
        <v>89</v>
      </c>
      <c r="G13">
        <f>'Raw data'!G15</f>
        <v>91</v>
      </c>
      <c r="H13">
        <f>'Raw data'!H15</f>
        <v>450</v>
      </c>
    </row>
    <row r="14" spans="1:8" x14ac:dyDescent="0.3">
      <c r="A14">
        <f>'Raw data'!A16</f>
        <v>13</v>
      </c>
      <c r="B14" t="str">
        <f>'Raw data'!B16</f>
        <v>Vikram Singh</v>
      </c>
      <c r="C14">
        <f>'Raw data'!C16</f>
        <v>55</v>
      </c>
      <c r="D14">
        <f>'Raw data'!D16</f>
        <v>50</v>
      </c>
      <c r="E14">
        <f>'Raw data'!E16</f>
        <v>52</v>
      </c>
      <c r="F14">
        <f>'Raw data'!F16</f>
        <v>58</v>
      </c>
      <c r="G14">
        <f>'Raw data'!G16</f>
        <v>54</v>
      </c>
      <c r="H14">
        <f>'Raw data'!H16</f>
        <v>269</v>
      </c>
    </row>
    <row r="15" spans="1:8" x14ac:dyDescent="0.3">
      <c r="A15">
        <f>'Raw data'!A17</f>
        <v>14</v>
      </c>
      <c r="B15" t="str">
        <f>'Raw data'!B17</f>
        <v>Swati Rao</v>
      </c>
      <c r="C15">
        <f>'Raw data'!C17</f>
        <v>80</v>
      </c>
      <c r="D15">
        <f>'Raw data'!D17</f>
        <v>75</v>
      </c>
      <c r="E15">
        <f>'Raw data'!E17</f>
        <v>78</v>
      </c>
      <c r="F15">
        <f>'Raw data'!F17</f>
        <v>76</v>
      </c>
      <c r="G15">
        <f>'Raw data'!G17</f>
        <v>81</v>
      </c>
      <c r="H15">
        <f>'Raw data'!H17</f>
        <v>390</v>
      </c>
    </row>
    <row r="16" spans="1:8" x14ac:dyDescent="0.3">
      <c r="A16">
        <f>'Raw data'!A18</f>
        <v>15</v>
      </c>
      <c r="B16" t="str">
        <f>'Raw data'!B18</f>
        <v>Gaurav Bhatia</v>
      </c>
      <c r="C16">
        <f>'Raw data'!C18</f>
        <v>68</v>
      </c>
      <c r="D16">
        <f>'Raw data'!D18</f>
        <v>65</v>
      </c>
      <c r="E16">
        <f>'Raw data'!E18</f>
        <v>67</v>
      </c>
      <c r="F16">
        <f>'Raw data'!F18</f>
        <v>70</v>
      </c>
      <c r="G16">
        <f>'Raw data'!G18</f>
        <v>66</v>
      </c>
      <c r="H16">
        <f>'Raw data'!H18</f>
        <v>336</v>
      </c>
    </row>
    <row r="17" spans="1:8" x14ac:dyDescent="0.3">
      <c r="A17">
        <f>'Raw data'!A19</f>
        <v>16</v>
      </c>
      <c r="B17" t="str">
        <f>'Raw data'!B19</f>
        <v>Kavita Joshi</v>
      </c>
      <c r="C17">
        <f>'Raw data'!C19</f>
        <v>93</v>
      </c>
      <c r="D17">
        <f>'Raw data'!D19</f>
        <v>90</v>
      </c>
      <c r="E17">
        <f>'Raw data'!E19</f>
        <v>88</v>
      </c>
      <c r="F17">
        <f>'Raw data'!F19</f>
        <v>91</v>
      </c>
      <c r="G17">
        <f>'Raw data'!G19</f>
        <v>92</v>
      </c>
      <c r="H17">
        <f>'Raw data'!H19</f>
        <v>454</v>
      </c>
    </row>
    <row r="18" spans="1:8" x14ac:dyDescent="0.3">
      <c r="A18">
        <f>'Raw data'!A20</f>
        <v>17</v>
      </c>
      <c r="B18" t="str">
        <f>'Raw data'!B20</f>
        <v>Aditya Reddy</v>
      </c>
      <c r="C18">
        <f>'Raw data'!C20</f>
        <v>72</v>
      </c>
      <c r="D18">
        <f>'Raw data'!D20</f>
        <v>70</v>
      </c>
      <c r="E18">
        <f>'Raw data'!E20</f>
        <v>74</v>
      </c>
      <c r="F18">
        <f>'Raw data'!F20</f>
        <v>76</v>
      </c>
      <c r="G18">
        <f>'Raw data'!G20</f>
        <v>73</v>
      </c>
      <c r="H18">
        <f>'Raw data'!H20</f>
        <v>365</v>
      </c>
    </row>
    <row r="19" spans="1:8" x14ac:dyDescent="0.3">
      <c r="A19">
        <f>'Raw data'!A21</f>
        <v>18</v>
      </c>
      <c r="B19" t="str">
        <f>'Raw data'!B21</f>
        <v>Shruti Agarwal</v>
      </c>
      <c r="C19">
        <f>'Raw data'!C21</f>
        <v>85</v>
      </c>
      <c r="D19">
        <f>'Raw data'!D21</f>
        <v>82</v>
      </c>
      <c r="E19">
        <f>'Raw data'!E21</f>
        <v>86</v>
      </c>
      <c r="F19">
        <f>'Raw data'!F21</f>
        <v>84</v>
      </c>
      <c r="G19">
        <f>'Raw data'!G21</f>
        <v>88</v>
      </c>
      <c r="H19">
        <f>'Raw data'!H21</f>
        <v>425</v>
      </c>
    </row>
    <row r="20" spans="1:8" x14ac:dyDescent="0.3">
      <c r="A20">
        <f>'Raw data'!A22</f>
        <v>19</v>
      </c>
      <c r="B20" t="str">
        <f>'Raw data'!B22</f>
        <v>Ankit Jain</v>
      </c>
      <c r="C20">
        <f>'Raw data'!C22</f>
        <v>58</v>
      </c>
      <c r="D20">
        <f>'Raw data'!D22</f>
        <v>55</v>
      </c>
      <c r="E20">
        <f>'Raw data'!E22</f>
        <v>56</v>
      </c>
      <c r="F20">
        <f>'Raw data'!F22</f>
        <v>60</v>
      </c>
      <c r="G20">
        <f>'Raw data'!G22</f>
        <v>57</v>
      </c>
      <c r="H20">
        <f>'Raw data'!H22</f>
        <v>286</v>
      </c>
    </row>
    <row r="21" spans="1:8" x14ac:dyDescent="0.3">
      <c r="A21">
        <f>'Raw data'!A23</f>
        <v>20</v>
      </c>
      <c r="B21" t="str">
        <f>'Raw data'!B23</f>
        <v>Radhika Patel</v>
      </c>
      <c r="C21">
        <f>'Raw data'!C23</f>
        <v>91</v>
      </c>
      <c r="D21">
        <f>'Raw data'!D23</f>
        <v>89</v>
      </c>
      <c r="E21">
        <f>'Raw data'!E23</f>
        <v>93</v>
      </c>
      <c r="F21">
        <f>'Raw data'!F23</f>
        <v>90</v>
      </c>
      <c r="G21">
        <f>'Raw data'!G23</f>
        <v>92</v>
      </c>
      <c r="H21">
        <f>'Raw data'!H23</f>
        <v>455</v>
      </c>
    </row>
    <row r="22" spans="1:8" x14ac:dyDescent="0.3">
      <c r="A22">
        <f>'Raw data'!A24</f>
        <v>21</v>
      </c>
      <c r="B22" t="str">
        <f>'Raw data'!B24</f>
        <v>Karan Malhotra</v>
      </c>
      <c r="C22">
        <f>'Raw data'!C24</f>
        <v>74</v>
      </c>
      <c r="D22">
        <f>'Raw data'!D24</f>
        <v>72</v>
      </c>
      <c r="E22">
        <f>'Raw data'!E24</f>
        <v>76</v>
      </c>
      <c r="F22">
        <f>'Raw data'!F24</f>
        <v>78</v>
      </c>
      <c r="G22">
        <f>'Raw data'!G24</f>
        <v>75</v>
      </c>
      <c r="H22">
        <f>'Raw data'!H24</f>
        <v>375</v>
      </c>
    </row>
    <row r="23" spans="1:8" x14ac:dyDescent="0.3">
      <c r="A23">
        <f>'Raw data'!A25</f>
        <v>22</v>
      </c>
      <c r="B23" t="str">
        <f>'Raw data'!B25</f>
        <v>Simran Kaur</v>
      </c>
      <c r="C23">
        <f>'Raw data'!C25</f>
        <v>87</v>
      </c>
      <c r="D23">
        <f>'Raw data'!D25</f>
        <v>85</v>
      </c>
      <c r="E23">
        <f>'Raw data'!E25</f>
        <v>88</v>
      </c>
      <c r="F23">
        <f>'Raw data'!F25</f>
        <v>86</v>
      </c>
      <c r="G23">
        <f>'Raw data'!G25</f>
        <v>89</v>
      </c>
      <c r="H23">
        <f>'Raw data'!H25</f>
        <v>435</v>
      </c>
    </row>
    <row r="24" spans="1:8" x14ac:dyDescent="0.3">
      <c r="A24">
        <f>'Raw data'!A26</f>
        <v>23</v>
      </c>
      <c r="B24" t="str">
        <f>'Raw data'!B26</f>
        <v>Prateek Verma</v>
      </c>
      <c r="C24">
        <f>'Raw data'!C26</f>
        <v>62</v>
      </c>
      <c r="D24">
        <f>'Raw data'!D26</f>
        <v>60</v>
      </c>
      <c r="E24">
        <f>'Raw data'!E26</f>
        <v>65</v>
      </c>
      <c r="F24">
        <f>'Raw data'!F26</f>
        <v>68</v>
      </c>
      <c r="G24">
        <f>'Raw data'!G26</f>
        <v>63</v>
      </c>
      <c r="H24">
        <f>'Raw data'!H26</f>
        <v>318</v>
      </c>
    </row>
    <row r="25" spans="1:8" x14ac:dyDescent="0.3">
      <c r="A25">
        <f>'Raw data'!A27</f>
        <v>24</v>
      </c>
      <c r="B25" t="str">
        <f>'Raw data'!B27</f>
        <v>Tanvi Desai</v>
      </c>
      <c r="C25">
        <f>'Raw data'!C27</f>
        <v>89</v>
      </c>
      <c r="D25">
        <f>'Raw data'!D27</f>
        <v>86</v>
      </c>
      <c r="E25">
        <f>'Raw data'!E27</f>
        <v>90</v>
      </c>
      <c r="F25">
        <f>'Raw data'!F27</f>
        <v>88</v>
      </c>
      <c r="G25">
        <f>'Raw data'!G27</f>
        <v>91</v>
      </c>
      <c r="H25">
        <f>'Raw data'!H27</f>
        <v>444</v>
      </c>
    </row>
    <row r="26" spans="1:8" x14ac:dyDescent="0.3">
      <c r="A26">
        <f>'Raw data'!A28</f>
        <v>25</v>
      </c>
      <c r="B26" t="str">
        <f>'Raw data'!B28</f>
        <v>Siddharth Roy</v>
      </c>
      <c r="C26">
        <f>'Raw data'!C28</f>
        <v>70</v>
      </c>
      <c r="D26">
        <f>'Raw data'!D28</f>
        <v>68</v>
      </c>
      <c r="E26">
        <f>'Raw data'!E28</f>
        <v>72</v>
      </c>
      <c r="F26">
        <f>'Raw data'!F28</f>
        <v>74</v>
      </c>
      <c r="G26">
        <f>'Raw data'!G28</f>
        <v>71</v>
      </c>
      <c r="H26">
        <f>'Raw data'!H28</f>
        <v>355</v>
      </c>
    </row>
    <row r="27" spans="1:8" x14ac:dyDescent="0.3">
      <c r="A27">
        <f>'Raw data'!A29</f>
        <v>26</v>
      </c>
      <c r="B27" t="str">
        <f>'Raw data'!B29</f>
        <v>Divya Menon</v>
      </c>
      <c r="C27">
        <f>'Raw data'!C29</f>
        <v>94</v>
      </c>
      <c r="D27" s="2">
        <f>'Raw data'!D29</f>
        <v>92</v>
      </c>
      <c r="E27" s="2">
        <f>'Raw data'!E29</f>
        <v>95</v>
      </c>
      <c r="F27" s="2">
        <f>'Raw data'!F29</f>
        <v>93</v>
      </c>
      <c r="G27" s="2">
        <f>'Raw data'!G29</f>
        <v>94</v>
      </c>
      <c r="H27">
        <f>'Raw data'!H29</f>
        <v>468</v>
      </c>
    </row>
    <row r="28" spans="1:8" x14ac:dyDescent="0.3">
      <c r="A28">
        <f>'Raw data'!A30</f>
        <v>27</v>
      </c>
      <c r="B28" t="str">
        <f>'Raw data'!B30</f>
        <v>Anil Kumar</v>
      </c>
      <c r="C28">
        <f>'Raw data'!C30</f>
        <v>63</v>
      </c>
      <c r="D28">
        <f>'Raw data'!D30</f>
        <v>60</v>
      </c>
      <c r="E28">
        <f>'Raw data'!E30</f>
        <v>65</v>
      </c>
      <c r="F28">
        <f>'Raw data'!F30</f>
        <v>67</v>
      </c>
      <c r="G28">
        <f>'Raw data'!G30</f>
        <v>62</v>
      </c>
      <c r="H28">
        <f>'Raw data'!H30</f>
        <v>317</v>
      </c>
    </row>
    <row r="29" spans="1:8" x14ac:dyDescent="0.3">
      <c r="A29">
        <f>'Raw data'!A31</f>
        <v>28</v>
      </c>
      <c r="B29" t="str">
        <f>'Raw data'!B31</f>
        <v>Ruchi Sharma</v>
      </c>
      <c r="C29">
        <f>'Raw data'!C31</f>
        <v>86</v>
      </c>
      <c r="D29">
        <f>'Raw data'!D31</f>
        <v>83</v>
      </c>
      <c r="E29">
        <f>'Raw data'!E31</f>
        <v>87</v>
      </c>
      <c r="F29">
        <f>'Raw data'!F31</f>
        <v>85</v>
      </c>
      <c r="G29">
        <f>'Raw data'!G31</f>
        <v>89</v>
      </c>
      <c r="H29">
        <f>'Raw data'!H31</f>
        <v>430</v>
      </c>
    </row>
    <row r="30" spans="1:8" x14ac:dyDescent="0.3">
      <c r="A30">
        <f>'Raw data'!A32</f>
        <v>29</v>
      </c>
      <c r="B30" t="str">
        <f>'Raw data'!B32</f>
        <v>Rajesh Patel</v>
      </c>
      <c r="C30">
        <f>'Raw data'!C32</f>
        <v>56</v>
      </c>
      <c r="D30">
        <f>'Raw data'!D32</f>
        <v>54</v>
      </c>
      <c r="E30">
        <f>'Raw data'!E32</f>
        <v>58</v>
      </c>
      <c r="F30">
        <f>'Raw data'!F32</f>
        <v>60</v>
      </c>
      <c r="G30">
        <f>'Raw data'!G32</f>
        <v>55</v>
      </c>
      <c r="H30">
        <f>'Raw data'!H32</f>
        <v>283</v>
      </c>
    </row>
    <row r="31" spans="1:8" x14ac:dyDescent="0.3">
      <c r="A31">
        <f>'Raw data'!A33</f>
        <v>30</v>
      </c>
      <c r="B31" t="str">
        <f>'Raw data'!B33</f>
        <v>Megha Jain</v>
      </c>
      <c r="C31">
        <f>'Raw data'!C33</f>
        <v>90</v>
      </c>
      <c r="D31">
        <f>'Raw data'!D33</f>
        <v>88</v>
      </c>
      <c r="E31">
        <f>'Raw data'!E33</f>
        <v>91</v>
      </c>
      <c r="F31">
        <f>'Raw data'!F33</f>
        <v>89</v>
      </c>
      <c r="G31">
        <f>'Raw data'!G33</f>
        <v>92</v>
      </c>
      <c r="H31">
        <f>'Raw data'!H33</f>
        <v>450</v>
      </c>
    </row>
    <row r="32" spans="1:8" x14ac:dyDescent="0.3">
      <c r="A32">
        <f>'Raw data'!A34</f>
        <v>31</v>
      </c>
      <c r="B32" t="str">
        <f>'Raw data'!B34</f>
        <v>Yash Arya</v>
      </c>
      <c r="C32">
        <f>'Raw data'!C34</f>
        <v>73</v>
      </c>
      <c r="D32">
        <f>'Raw data'!D34</f>
        <v>75</v>
      </c>
      <c r="E32">
        <f>'Raw data'!E34</f>
        <v>77</v>
      </c>
      <c r="F32">
        <f>'Raw data'!F34</f>
        <v>78</v>
      </c>
      <c r="G32">
        <f>'Raw data'!G34</f>
        <v>74</v>
      </c>
      <c r="H32">
        <f>'Raw data'!H34</f>
        <v>377</v>
      </c>
    </row>
    <row r="33" spans="1:8 16384:16384" x14ac:dyDescent="0.3">
      <c r="A33">
        <f>'Raw data'!A35</f>
        <v>32</v>
      </c>
      <c r="B33" t="str">
        <f>'Raw data'!B35</f>
        <v>Anjali Bhatia</v>
      </c>
      <c r="C33">
        <f>'Raw data'!C35</f>
        <v>81</v>
      </c>
      <c r="D33">
        <f>'Raw data'!D35</f>
        <v>80</v>
      </c>
      <c r="E33">
        <f>'Raw data'!E35</f>
        <v>82</v>
      </c>
      <c r="F33">
        <f>'Raw data'!F35</f>
        <v>84</v>
      </c>
      <c r="G33">
        <f>'Raw data'!G35</f>
        <v>83</v>
      </c>
      <c r="H33">
        <f>'Raw data'!H35</f>
        <v>410</v>
      </c>
    </row>
    <row r="34" spans="1:8 16384:16384" x14ac:dyDescent="0.3">
      <c r="A34">
        <f>'Raw data'!A36</f>
        <v>33</v>
      </c>
      <c r="B34" t="str">
        <f>'Raw data'!B36</f>
        <v>Vineet Saini</v>
      </c>
      <c r="C34">
        <f>'Raw data'!C36</f>
        <v>67</v>
      </c>
      <c r="D34">
        <f>'Raw data'!D36</f>
        <v>65</v>
      </c>
      <c r="E34">
        <f>'Raw data'!E36</f>
        <v>66</v>
      </c>
      <c r="F34">
        <f>'Raw data'!F36</f>
        <v>69</v>
      </c>
      <c r="G34">
        <f>'Raw data'!G36</f>
        <v>68</v>
      </c>
      <c r="H34">
        <f>'Raw data'!H36</f>
        <v>335</v>
      </c>
    </row>
    <row r="35" spans="1:8 16384:16384" x14ac:dyDescent="0.3">
      <c r="A35">
        <f>'Raw data'!A37</f>
        <v>34</v>
      </c>
      <c r="B35" t="str">
        <f>'Raw data'!B37</f>
        <v>Nisha Mehta</v>
      </c>
      <c r="C35">
        <f>'Raw data'!C37</f>
        <v>88</v>
      </c>
      <c r="D35">
        <f>'Raw data'!D37</f>
        <v>86</v>
      </c>
      <c r="E35">
        <f>'Raw data'!E37</f>
        <v>89</v>
      </c>
      <c r="F35">
        <f>'Raw data'!F37</f>
        <v>87</v>
      </c>
      <c r="G35">
        <f>'Raw data'!G37</f>
        <v>90</v>
      </c>
      <c r="H35">
        <f>'Raw data'!H37</f>
        <v>440</v>
      </c>
    </row>
    <row r="36" spans="1:8 16384:16384" x14ac:dyDescent="0.3">
      <c r="A36">
        <f>'Raw data'!A38</f>
        <v>35</v>
      </c>
      <c r="B36" t="str">
        <f>'Raw data'!B38</f>
        <v>Rohit Gupta</v>
      </c>
      <c r="C36">
        <f>'Raw data'!C38</f>
        <v>76</v>
      </c>
      <c r="D36">
        <f>'Raw data'!D38</f>
        <v>74</v>
      </c>
      <c r="E36">
        <f>'Raw data'!E38</f>
        <v>78</v>
      </c>
      <c r="F36">
        <f>'Raw data'!F38</f>
        <v>80</v>
      </c>
      <c r="G36">
        <f>'Raw data'!G38</f>
        <v>77</v>
      </c>
      <c r="H36">
        <f>'Raw data'!H38</f>
        <v>385</v>
      </c>
    </row>
    <row r="38" spans="1:8 16384:16384" x14ac:dyDescent="0.3"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58</v>
      </c>
    </row>
    <row r="39" spans="1:8 16384:16384" x14ac:dyDescent="0.3">
      <c r="C39" s="2">
        <f>MAX('Raw data'!C:C)</f>
        <v>95</v>
      </c>
      <c r="D39" s="2">
        <f>MAX('Raw data'!D:D)</f>
        <v>92</v>
      </c>
      <c r="E39" s="2">
        <f>MAX('Raw data'!E:E)</f>
        <v>95</v>
      </c>
      <c r="F39" s="2">
        <f>MAX('Raw data'!F:F)</f>
        <v>93</v>
      </c>
      <c r="G39" s="2">
        <f>MAX('Raw data'!G:G)</f>
        <v>94</v>
      </c>
      <c r="H39">
        <f>AVERAGE(C39:G39)</f>
        <v>93.8</v>
      </c>
    </row>
    <row r="40" spans="1:8 16384:16384" x14ac:dyDescent="0.3"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59</v>
      </c>
      <c r="XFD40" t="s">
        <v>46</v>
      </c>
    </row>
    <row r="41" spans="1:8 16384:16384" x14ac:dyDescent="0.3">
      <c r="C41" s="3">
        <f>MIN('Raw data'!C:C)</f>
        <v>50</v>
      </c>
      <c r="D41" s="3">
        <f>MIN('Raw data'!D:D)</f>
        <v>45</v>
      </c>
      <c r="E41" s="3">
        <f>MIN('Raw data'!E:E)</f>
        <v>48</v>
      </c>
      <c r="F41" s="3">
        <f>MIN('Raw data'!F:F)</f>
        <v>52</v>
      </c>
      <c r="G41" s="3">
        <f>MIN('Raw data'!G:G)</f>
        <v>47</v>
      </c>
      <c r="H41">
        <f>AVERAGE(C41:G41)</f>
        <v>48.4</v>
      </c>
    </row>
    <row r="42" spans="1:8 16384:16384" x14ac:dyDescent="0.3">
      <c r="C42" t="s">
        <v>47</v>
      </c>
      <c r="D42" t="s">
        <v>47</v>
      </c>
      <c r="E42" t="s">
        <v>47</v>
      </c>
      <c r="F42" t="s">
        <v>47</v>
      </c>
      <c r="G42" t="s">
        <v>47</v>
      </c>
    </row>
    <row r="43" spans="1:8 16384:16384" x14ac:dyDescent="0.3">
      <c r="C43" s="4">
        <f>AVERAGE(C2:C36)</f>
        <v>76.8</v>
      </c>
      <c r="D43" s="5">
        <f>AVERAGE(D2:D36)</f>
        <v>74.171428571428578</v>
      </c>
      <c r="E43" s="4">
        <f>AVERAGE(E2:E36)</f>
        <v>76.8</v>
      </c>
      <c r="F43" s="5">
        <f>AVERAGE(F2:F36)</f>
        <v>77.057142857142864</v>
      </c>
      <c r="G43" s="5">
        <f>AVERAGE(G2:G36)</f>
        <v>76.771428571428572</v>
      </c>
    </row>
    <row r="45" spans="1:8 16384:16384" x14ac:dyDescent="0.3">
      <c r="A45" s="6" t="s">
        <v>48</v>
      </c>
      <c r="B45" s="6">
        <f>COUNT('Raw data'!A:A)</f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FBE3-97BF-490D-A6C0-CFAA73585ACB}">
  <dimension ref="A1:L6"/>
  <sheetViews>
    <sheetView tabSelected="1" zoomScale="106" workbookViewId="0">
      <selection activeCell="A40" sqref="A40"/>
    </sheetView>
  </sheetViews>
  <sheetFormatPr defaultRowHeight="14.4" x14ac:dyDescent="0.3"/>
  <cols>
    <col min="1" max="1" width="12" bestFit="1" customWidth="1"/>
    <col min="2" max="2" width="13.6640625" bestFit="1" customWidth="1"/>
    <col min="3" max="3" width="16" bestFit="1" customWidth="1"/>
    <col min="4" max="4" width="13.77734375" bestFit="1" customWidth="1"/>
    <col min="5" max="5" width="13.44140625" bestFit="1" customWidth="1"/>
    <col min="6" max="6" width="13.5546875" bestFit="1" customWidth="1"/>
    <col min="7" max="7" width="12.5546875" bestFit="1" customWidth="1"/>
    <col min="8" max="8" width="13.44140625" bestFit="1" customWidth="1"/>
    <col min="9" max="9" width="13.77734375" bestFit="1" customWidth="1"/>
    <col min="10" max="10" width="16" bestFit="1" customWidth="1"/>
    <col min="11" max="11" width="13.6640625" bestFit="1" customWidth="1"/>
    <col min="12" max="12" width="12" bestFit="1" customWidth="1"/>
    <col min="13" max="13" width="13.5546875" bestFit="1" customWidth="1"/>
  </cols>
  <sheetData>
    <row r="1" spans="1:12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12" x14ac:dyDescent="0.3">
      <c r="A2">
        <v>2688</v>
      </c>
      <c r="B2">
        <v>2596</v>
      </c>
      <c r="C2">
        <v>2688</v>
      </c>
      <c r="D2">
        <v>2697</v>
      </c>
      <c r="E2">
        <v>2687</v>
      </c>
    </row>
    <row r="3" spans="1:12" x14ac:dyDescent="0.3">
      <c r="G3" s="7" t="s">
        <v>54</v>
      </c>
      <c r="H3" t="s">
        <v>53</v>
      </c>
      <c r="I3" t="s">
        <v>52</v>
      </c>
      <c r="J3" t="s">
        <v>51</v>
      </c>
      <c r="K3" t="s">
        <v>50</v>
      </c>
      <c r="L3" t="s">
        <v>49</v>
      </c>
    </row>
    <row r="4" spans="1:12" x14ac:dyDescent="0.3">
      <c r="G4" s="8" t="s">
        <v>55</v>
      </c>
      <c r="H4">
        <v>270</v>
      </c>
      <c r="I4">
        <v>292</v>
      </c>
      <c r="J4">
        <v>272</v>
      </c>
      <c r="K4">
        <v>259</v>
      </c>
      <c r="L4">
        <v>279</v>
      </c>
    </row>
    <row r="5" spans="1:12" x14ac:dyDescent="0.3">
      <c r="G5" s="8" t="s">
        <v>56</v>
      </c>
      <c r="H5">
        <v>2417</v>
      </c>
      <c r="I5">
        <v>2405</v>
      </c>
      <c r="J5">
        <v>2416</v>
      </c>
      <c r="K5">
        <v>2337</v>
      </c>
      <c r="L5">
        <v>2409</v>
      </c>
    </row>
    <row r="6" spans="1:12" x14ac:dyDescent="0.3">
      <c r="G6" s="8" t="s">
        <v>57</v>
      </c>
      <c r="H6">
        <v>2687</v>
      </c>
      <c r="I6">
        <v>2697</v>
      </c>
      <c r="J6">
        <v>2688</v>
      </c>
      <c r="K6">
        <v>2596</v>
      </c>
      <c r="L6">
        <v>2688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kaur</dc:creator>
  <cp:lastModifiedBy>Parveen kaur</cp:lastModifiedBy>
  <dcterms:created xsi:type="dcterms:W3CDTF">2026-04-10T23:20:06Z</dcterms:created>
  <dcterms:modified xsi:type="dcterms:W3CDTF">2026-04-23T11:00:55Z</dcterms:modified>
</cp:coreProperties>
</file>